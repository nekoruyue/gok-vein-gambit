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数值" sheetId="1" state="visible" r:id="rId1"/>
    <sheet xmlns:r="http://schemas.openxmlformats.org/officeDocument/2006/relationships" name="衍生物" sheetId="2" state="visible" r:id="rId2"/>
    <sheet xmlns:r="http://schemas.openxmlformats.org/officeDocument/2006/relationships" name="对位矩阵" sheetId="3" state="visible" r:id="rId3"/>
    <sheet xmlns:r="http://schemas.openxmlformats.org/officeDocument/2006/relationships" name="卡牌胜率" sheetId="4" state="visible" r:id="rId4"/>
    <sheet xmlns:r="http://schemas.openxmlformats.org/officeDocument/2006/relationships" name="阵营统计" sheetId="5" state="visible" r:id="rId5"/>
    <sheet xmlns:r="http://schemas.openxmlformats.org/officeDocument/2006/relationships" name="说明" sheetId="6" state="visible" r:id="rId6"/>
    <sheet xmlns:r="http://schemas.openxmlformats.org/officeDocument/2006/relationships" name="稀有度" sheetId="7" state="visible" r:id="rId7"/>
  </sheets>
  <definedNames>
    <definedName name="_xlnm._FilterDatabase" localSheetId="0" hidden="1">'卡牌数值'!$A$5:$R$249</definedName>
    <definedName name="_xlnm._FilterDatabase" localSheetId="1" hidden="1">'衍生物'!$A$4:$J$12</definedName>
    <definedName name="_xlnm._FilterDatabase" localSheetId="2" hidden="1">'对位矩阵'!$A$4:$I$10</definedName>
    <definedName name="_xlnm._FilterDatabase" localSheetId="3" hidden="1">'卡牌胜率'!$A$4:$J$248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D8E5DF"/>
      <sz val="10"/>
    </font>
    <font>
      <name val="微软雅黑"/>
      <color rgb="006D5A33"/>
      <sz val="9"/>
    </font>
    <font>
      <name val="微软雅黑"/>
      <b val="1"/>
      <color rgb="00FFFFFF"/>
      <sz val="9"/>
    </font>
    <font>
      <name val="微软雅黑"/>
      <color rgb="0023312F"/>
      <sz val="9"/>
    </font>
    <font>
      <name val="微软雅黑"/>
      <color rgb="006D7B78"/>
      <sz val="9"/>
    </font>
    <font>
      <name val="微软雅黑"/>
      <b val="1"/>
      <color rgb="00C0504D"/>
      <sz val="9"/>
    </font>
    <font>
      <name val="微软雅黑"/>
      <b val="1"/>
      <color rgb="004F81BD"/>
      <sz val="9"/>
    </font>
    <font>
      <name val="微软雅黑"/>
      <b val="1"/>
      <color rgb="009B6BB3"/>
      <sz val="9"/>
    </font>
    <font>
      <name val="微软雅黑"/>
      <b val="1"/>
      <color rgb="00FFFFFF"/>
      <sz val="16"/>
    </font>
    <font>
      <name val="微软雅黑"/>
      <b val="1"/>
      <color rgb="00173C3A"/>
      <sz val="12"/>
    </font>
    <font>
      <name val="微软雅黑"/>
      <b val="1"/>
      <color rgb="0023312F"/>
      <sz val="9"/>
    </font>
    <font>
      <name val="微软雅黑"/>
      <b val="1"/>
      <color rgb="00173C3A"/>
      <sz val="10"/>
    </font>
    <font>
      <name val="微软雅黑"/>
      <color rgb="0023312F"/>
      <sz val="10"/>
    </font>
    <font>
      <name val="Microsoft YaHei"/>
      <b val="1"/>
      <color rgb="00173C3A"/>
      <sz val="18"/>
    </font>
    <font>
      <name val="Microsoft YaHei"/>
      <b val="1"/>
      <color rgb="00FFFFFF"/>
      <sz val="18"/>
    </font>
    <font>
      <name val="Microsoft YaHei"/>
      <color rgb="005E6D68"/>
      <sz val="9"/>
    </font>
    <font>
      <name val="Microsoft YaHei"/>
      <b val="1"/>
      <color rgb="00FFFFFF"/>
      <sz val="10"/>
    </font>
    <font>
      <name val="Microsoft YaHei"/>
      <b val="1"/>
      <color rgb="001F2933"/>
      <sz val="10"/>
    </font>
    <font>
      <name val="Microsoft YaHei"/>
      <color rgb="001F2933"/>
      <sz val="10"/>
    </font>
  </fonts>
  <fills count="17">
    <fill>
      <patternFill/>
    </fill>
    <fill>
      <patternFill patternType="gray125"/>
    </fill>
    <fill>
      <patternFill patternType="solid">
        <fgColor rgb="00173C3A"/>
      </patternFill>
    </fill>
    <fill>
      <patternFill patternType="solid">
        <fgColor rgb="0024504B"/>
      </patternFill>
    </fill>
    <fill>
      <patternFill patternType="solid">
        <fgColor rgb="00F7EED8"/>
      </patternFill>
    </fill>
    <fill>
      <patternFill patternType="solid">
        <fgColor rgb="00EAF3F0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EF0F8"/>
      </patternFill>
    </fill>
    <fill>
      <patternFill patternType="solid">
        <fgColor rgb="00F6EDEE"/>
      </patternFill>
    </fill>
    <fill>
      <patternFill patternType="solid">
        <fgColor rgb="00F4F1E3"/>
      </patternFill>
    </fill>
    <fill>
      <patternFill patternType="solid">
        <fgColor rgb="00F3E9E1"/>
      </patternFill>
    </fill>
    <fill>
      <patternFill patternType="solid">
        <fgColor rgb="00E8EFF0"/>
      </patternFill>
    </fill>
    <fill>
      <patternFill patternType="solid">
        <fgColor rgb="00F2F0F4"/>
      </patternFill>
    </fill>
    <fill>
      <patternFill patternType="solid">
        <fgColor rgb="00FBF8F0"/>
      </patternFill>
    </fill>
    <fill>
      <patternFill patternType="solid">
        <fgColor rgb="00F2F0E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left style="thin">
        <color rgb="00C9D6CE"/>
      </left>
      <right style="thin">
        <color rgb="00C9D6CE"/>
      </right>
      <top style="thin">
        <color rgb="00C9D6CE"/>
      </top>
      <bottom style="thin">
        <color rgb="00C9D6CE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vertical="center"/>
    </xf>
    <xf numFmtId="0" fontId="5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10" fillId="2" borderId="0" applyAlignment="1" pivotButton="0" quotePrefix="0" xfId="0">
      <alignment vertic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11" fillId="0" borderId="0" pivotButton="0" quotePrefix="0" xfId="0"/>
    <xf numFmtId="0" fontId="5" fillId="0" borderId="1" pivotButton="0" quotePrefix="0" xfId="0"/>
    <xf numFmtId="0" fontId="12" fillId="0" borderId="1" applyAlignment="1" pivotButton="0" quotePrefix="0" xfId="0">
      <alignment horizontal="center"/>
    </xf>
    <xf numFmtId="0" fontId="13" fillId="15" borderId="1" applyAlignment="1" pivotButton="0" quotePrefix="0" xfId="0">
      <alignment vertical="top"/>
    </xf>
    <xf numFmtId="0" fontId="14" fillId="0" borderId="1" applyAlignment="1" pivotButton="0" quotePrefix="0" xfId="0">
      <alignment vertical="top" wrapText="1"/>
    </xf>
    <xf numFmtId="0" fontId="5" fillId="14" borderId="1" applyAlignment="1" pivotButton="0" quotePrefix="0" xfId="0">
      <alignment horizontal="center"/>
    </xf>
    <xf numFmtId="2" fontId="5" fillId="14" borderId="1" applyAlignment="1" pivotButton="0" quotePrefix="0" xfId="0">
      <alignment horizontal="center"/>
    </xf>
    <xf numFmtId="0" fontId="7" fillId="12" borderId="1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8" fillId="2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center"/>
    </xf>
    <xf numFmtId="164" fontId="20" fillId="0" borderId="2" applyAlignment="1" pivotButton="0" quotePrefix="0" xfId="0">
      <alignment horizontal="center" vertical="center"/>
    </xf>
    <xf numFmtId="164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left" vertical="center"/>
    </xf>
    <xf numFmtId="165" fontId="20" fillId="0" borderId="2" applyAlignment="1" pivotButton="0" quotePrefix="0" xfId="0">
      <alignment horizontal="center" vertical="center"/>
    </xf>
    <xf numFmtId="0" fontId="20" fillId="16" borderId="2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微软雅黑"/>
        <b val="1"/>
        <color rgb="007B3F00"/>
        <sz val="9"/>
      </font>
      <fill>
        <patternFill patternType="solid">
          <fgColor rgb="00F4B183"/>
        </patternFill>
      </fill>
    </dxf>
    <dxf>
      <fill>
        <patternFill patternType="solid">
          <fgColor rgb="00F2DCDB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各阵营总胜率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'对位矩阵'!H4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'对位矩阵'!$A$5:$A$10</f>
            </numRef>
          </cat>
          <val>
            <numRef>
              <f>'对位矩阵'!$H$5:$H$10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胜率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9" customWidth="1" min="4" max="4"/>
    <col width="9" customWidth="1" min="5" max="5"/>
    <col width="7" customWidth="1" min="6" max="6"/>
    <col width="7" customWidth="1" min="7" max="7"/>
    <col width="7" customWidth="1" min="8" max="8"/>
    <col width="8" customWidth="1" min="9" max="9"/>
    <col width="16" customWidth="1" min="10" max="10"/>
    <col width="56" customWidth="1" min="11" max="11"/>
    <col width="3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24" customWidth="1" min="18" max="18"/>
  </cols>
  <sheetData>
    <row r="1" ht="30" customHeight="1">
      <c r="A1" s="1" t="inlineStr">
        <is>
          <t>戈克世界：流脉牌局 · 稳定版卡牌数值调整表</t>
        </is>
      </c>
    </row>
    <row r="2" ht="22" customHeight="1">
      <c r="A2" s="2" t="inlineStr">
        <is>
          <t>稳定构建 20261020e24.5 · 244 个可收藏条目 + 8 个衍生物 · 直接修改黄色列，P 列自动标记改动</t>
        </is>
      </c>
    </row>
    <row r="3" ht="20" customHeight="1">
      <c r="A3" s="3" t="inlineStr">
        <is>
          <t>编辑范围：F 费用 / G 攻击 / H 生命；M-O 是原始值，P 列自动判断是否已改。</t>
        </is>
      </c>
    </row>
    <row r="4" ht="6" customHeight="1"/>
    <row r="5" ht="25" customHeight="1">
      <c r="A5" s="4" t="inlineStr">
        <is>
          <t>ID</t>
        </is>
      </c>
      <c r="B5" s="4" t="inlineStr">
        <is>
          <t>卡牌名</t>
        </is>
      </c>
      <c r="C5" s="4" t="inlineStr">
        <is>
          <t>阵营</t>
        </is>
      </c>
      <c r="D5" s="4" t="inlineStr">
        <is>
          <t>类型</t>
        </is>
      </c>
      <c r="E5" s="4" t="inlineStr">
        <is>
          <t>稀有度</t>
        </is>
      </c>
      <c r="F5" s="4" t="inlineStr">
        <is>
          <t>费用</t>
        </is>
      </c>
      <c r="G5" s="4" t="inlineStr">
        <is>
          <t>攻击</t>
        </is>
      </c>
      <c r="H5" s="4" t="inlineStr">
        <is>
          <t>生命</t>
        </is>
      </c>
      <c r="I5" s="4" t="inlineStr">
        <is>
          <t>牌组上限</t>
        </is>
      </c>
      <c r="J5" s="4" t="inlineStr">
        <is>
          <t>关键词</t>
        </is>
      </c>
      <c r="K5" s="4" t="inlineStr">
        <is>
          <t>卡牌文本</t>
        </is>
      </c>
      <c r="L5" s="4" t="inlineStr">
        <is>
          <t>效果类型</t>
        </is>
      </c>
      <c r="M5" s="4" t="inlineStr">
        <is>
          <t>原费用</t>
        </is>
      </c>
      <c r="N5" s="4" t="inlineStr">
        <is>
          <t>原攻击</t>
        </is>
      </c>
      <c r="O5" s="4" t="inlineStr">
        <is>
          <t>原生命</t>
        </is>
      </c>
      <c r="P5" s="4" t="inlineStr">
        <is>
          <t>改动</t>
        </is>
      </c>
      <c r="Q5" s="4" t="inlineStr">
        <is>
          <t>状态</t>
        </is>
      </c>
      <c r="R5" s="4" t="inlineStr">
        <is>
          <t>备注</t>
        </is>
      </c>
    </row>
    <row r="6" ht="28" customHeight="1">
      <c r="A6" s="5" t="inlineStr">
        <is>
          <t>medic_apprentice</t>
        </is>
      </c>
      <c r="B6" s="5" t="inlineStr">
        <is>
          <t>医疗学徒</t>
        </is>
      </c>
      <c r="C6" s="5" t="inlineStr">
        <is>
          <t>普卫岛</t>
        </is>
      </c>
      <c r="D6" s="5" t="inlineStr">
        <is>
          <t>随从</t>
        </is>
      </c>
      <c r="E6" s="5" t="inlineStr">
        <is>
          <t>普通</t>
        </is>
      </c>
      <c r="F6" s="6" t="n">
        <v>1</v>
      </c>
      <c r="G6" s="6" t="n">
        <v>1</v>
      </c>
      <c r="H6" s="6" t="n">
        <v>2</v>
      </c>
      <c r="I6" s="5" t="n">
        <v>2</v>
      </c>
      <c r="J6" s="7" t="n"/>
      <c r="K6" s="7" t="inlineStr">
        <is>
          <t>引脉 4/8：恢复你的领袖 1/3 点生命。</t>
        </is>
      </c>
      <c r="L6" s="7" t="inlineStr">
        <is>
          <t>veinTiers:2</t>
        </is>
      </c>
      <c r="M6" s="8" t="n">
        <v>1</v>
      </c>
      <c r="N6" s="8" t="n">
        <v>1</v>
      </c>
      <c r="O6" s="8" t="n">
        <v>2</v>
      </c>
      <c r="P6" s="9">
        <f>IF(OR(F6&lt;&gt;M6,IF(AND(G6="",N6=""),FALSE,G6&lt;&gt;N6),IF(AND(H6="",O6=""),FALSE,H6&lt;&gt;O6)),"已改","")</f>
        <v/>
      </c>
      <c r="Q6" s="9" t="inlineStr">
        <is>
          <t>可组</t>
        </is>
      </c>
      <c r="R6" s="7" t="n"/>
    </row>
    <row r="7" ht="28" customHeight="1">
      <c r="A7" s="5" t="inlineStr">
        <is>
          <t>courier</t>
        </is>
      </c>
      <c r="B7" s="5" t="inlineStr">
        <is>
          <t>协调部信使</t>
        </is>
      </c>
      <c r="C7" s="5" t="inlineStr">
        <is>
          <t>普卫岛</t>
        </is>
      </c>
      <c r="D7" s="5" t="inlineStr">
        <is>
          <t>随从</t>
        </is>
      </c>
      <c r="E7" s="5" t="inlineStr">
        <is>
          <t>普通</t>
        </is>
      </c>
      <c r="F7" s="6" t="n">
        <v>1</v>
      </c>
      <c r="G7" s="6" t="n">
        <v>1</v>
      </c>
      <c r="H7" s="6" t="n">
        <v>2</v>
      </c>
      <c r="I7" s="5" t="n">
        <v>2</v>
      </c>
      <c r="J7" s="7" t="n"/>
      <c r="K7" s="7" t="inlineStr">
        <is>
          <t>被动：该随从在场时，同阵位每有一个其他友方随从，本随从获得 +0/+1。</t>
        </is>
      </c>
      <c r="L7" s="7" t="inlineStr">
        <is>
          <t>zoneBonus:object</t>
        </is>
      </c>
      <c r="M7" s="8" t="n">
        <v>1</v>
      </c>
      <c r="N7" s="8" t="n">
        <v>1</v>
      </c>
      <c r="O7" s="8" t="n">
        <v>2</v>
      </c>
      <c r="P7" s="9">
        <f>IF(OR(F7&lt;&gt;M7,IF(AND(G7="",N7=""),FALSE,G7&lt;&gt;N7),IF(AND(H7="",O7=""),FALSE,H7&lt;&gt;O7)),"已改","")</f>
        <v/>
      </c>
      <c r="Q7" s="9" t="inlineStr">
        <is>
          <t>可组</t>
        </is>
      </c>
      <c r="R7" s="7" t="n"/>
    </row>
    <row r="8" ht="28" customHeight="1">
      <c r="A8" s="5" t="inlineStr">
        <is>
          <t>vein_scout</t>
        </is>
      </c>
      <c r="B8" s="5" t="inlineStr">
        <is>
          <t>引脉斥候</t>
        </is>
      </c>
      <c r="C8" s="5" t="inlineStr">
        <is>
          <t>普卫岛</t>
        </is>
      </c>
      <c r="D8" s="5" t="inlineStr">
        <is>
          <t>随从</t>
        </is>
      </c>
      <c r="E8" s="5" t="inlineStr">
        <is>
          <t>普通</t>
        </is>
      </c>
      <c r="F8" s="6" t="n">
        <v>1</v>
      </c>
      <c r="G8" s="6" t="n">
        <v>2</v>
      </c>
      <c r="H8" s="6" t="n">
        <v>1</v>
      </c>
      <c r="I8" s="5" t="n">
        <v>2</v>
      </c>
      <c r="J8" s="7" t="inlineStr">
        <is>
          <t>突进</t>
        </is>
      </c>
      <c r="K8" s="7" t="inlineStr">
        <is>
          <t>突进。引脉 3：获得 +0/+1。</t>
        </is>
      </c>
      <c r="L8" s="7" t="inlineStr">
        <is>
          <t>veinTiers:1</t>
        </is>
      </c>
      <c r="M8" s="8" t="n">
        <v>1</v>
      </c>
      <c r="N8" s="8" t="n">
        <v>2</v>
      </c>
      <c r="O8" s="8" t="n">
        <v>1</v>
      </c>
      <c r="P8" s="9">
        <f>IF(OR(F8&lt;&gt;M8,IF(AND(G8="",N8=""),FALSE,G8&lt;&gt;N8),IF(AND(H8="",O8=""),FALSE,H8&lt;&gt;O8)),"已改","")</f>
        <v/>
      </c>
      <c r="Q8" s="9" t="inlineStr">
        <is>
          <t>可组</t>
        </is>
      </c>
      <c r="R8" s="7" t="n"/>
    </row>
    <row r="9" ht="28" customHeight="1">
      <c r="A9" s="5" t="inlineStr">
        <is>
          <t>vein_attendant</t>
        </is>
      </c>
      <c r="B9" s="5" t="inlineStr">
        <is>
          <t>引脉侍从</t>
        </is>
      </c>
      <c r="C9" s="5" t="inlineStr">
        <is>
          <t>普卫岛</t>
        </is>
      </c>
      <c r="D9" s="5" t="inlineStr">
        <is>
          <t>随从</t>
        </is>
      </c>
      <c r="E9" s="5" t="inlineStr">
        <is>
          <t>稀有</t>
        </is>
      </c>
      <c r="F9" s="6" t="n">
        <v>2</v>
      </c>
      <c r="G9" s="6" t="n">
        <v>2</v>
      </c>
      <c r="H9" s="6" t="n">
        <v>2</v>
      </c>
      <c r="I9" s="5" t="n">
        <v>2</v>
      </c>
      <c r="J9" s="7" t="inlineStr">
        <is>
          <t>登场</t>
        </is>
      </c>
      <c r="K9" s="7" t="inlineStr">
        <is>
          <t>登场：流脉 +1。引脉 3：获得 +1/+1。</t>
        </is>
      </c>
      <c r="L9" s="7" t="inlineStr">
        <is>
          <t>battlecry:veinOnly；veinTiers:1</t>
        </is>
      </c>
      <c r="M9" s="8" t="n">
        <v>2</v>
      </c>
      <c r="N9" s="8" t="n">
        <v>2</v>
      </c>
      <c r="O9" s="8" t="n">
        <v>2</v>
      </c>
      <c r="P9" s="9">
        <f>IF(OR(F9&lt;&gt;M9,IF(AND(G9="",N9=""),FALSE,G9&lt;&gt;N9),IF(AND(H9="",O9=""),FALSE,H9&lt;&gt;O9)),"已改","")</f>
        <v/>
      </c>
      <c r="Q9" s="9" t="inlineStr">
        <is>
          <t>可组</t>
        </is>
      </c>
      <c r="R9" s="7" t="n"/>
    </row>
    <row r="10" ht="28" customHeight="1">
      <c r="A10" s="5" t="inlineStr">
        <is>
          <t>vein_foreman</t>
        </is>
      </c>
      <c r="B10" s="5" t="inlineStr">
        <is>
          <t>掘脉工头</t>
        </is>
      </c>
      <c r="C10" s="5" t="inlineStr">
        <is>
          <t>普卫岛</t>
        </is>
      </c>
      <c r="D10" s="5" t="inlineStr">
        <is>
          <t>随从</t>
        </is>
      </c>
      <c r="E10" s="5" t="inlineStr">
        <is>
          <t>普通</t>
        </is>
      </c>
      <c r="F10" s="6" t="n">
        <v>2</v>
      </c>
      <c r="G10" s="6" t="n">
        <v>2</v>
      </c>
      <c r="H10" s="6" t="n">
        <v>1</v>
      </c>
      <c r="I10" s="5" t="n">
        <v>2</v>
      </c>
      <c r="J10" s="7" t="inlineStr">
        <is>
          <t>登场</t>
        </is>
      </c>
      <c r="K10" s="7" t="inlineStr">
        <is>
          <t>采掘 1；登场：抽 1 张牌。</t>
        </is>
      </c>
      <c r="L10" s="7" t="inlineStr">
        <is>
          <t>battlecry:draw</t>
        </is>
      </c>
      <c r="M10" s="8" t="n">
        <v>2</v>
      </c>
      <c r="N10" s="8" t="n">
        <v>2</v>
      </c>
      <c r="O10" s="8" t="n">
        <v>1</v>
      </c>
      <c r="P10" s="9">
        <f>IF(OR(F10&lt;&gt;M10,IF(AND(G10="",N10=""),FALSE,G10&lt;&gt;N10),IF(AND(H10="",O10=""),FALSE,H10&lt;&gt;O10)),"已改","")</f>
        <v/>
      </c>
      <c r="Q10" s="9" t="inlineStr">
        <is>
          <t>可组</t>
        </is>
      </c>
      <c r="R10" s="7" t="n"/>
    </row>
    <row r="11" ht="28" customHeight="1">
      <c r="A11" s="5" t="inlineStr">
        <is>
          <t>timon</t>
        </is>
      </c>
      <c r="B11" s="5" t="inlineStr">
        <is>
          <t>提蒙</t>
        </is>
      </c>
      <c r="C11" s="5" t="inlineStr">
        <is>
          <t>普卫岛</t>
        </is>
      </c>
      <c r="D11" s="5" t="inlineStr">
        <is>
          <t>随从</t>
        </is>
      </c>
      <c r="E11" s="5" t="inlineStr">
        <is>
          <t>传说</t>
        </is>
      </c>
      <c r="F11" s="6" t="n">
        <v>3</v>
      </c>
      <c r="G11" s="6" t="n">
        <v>3</v>
      </c>
      <c r="H11" s="6" t="n">
        <v>2</v>
      </c>
      <c r="I11" s="5" t="n">
        <v>1</v>
      </c>
      <c r="J11" s="7" t="inlineStr">
        <is>
          <t>被动</t>
        </is>
      </c>
      <c r="K11" s="7" t="inlineStr">
        <is>
          <t>被动：提蒙存活时，你每个回合打出的第一张牌行动力消耗 -1。</t>
        </is>
      </c>
      <c r="L11" s="7" t="inlineStr">
        <is>
          <t>passive:firstCardDiscount</t>
        </is>
      </c>
      <c r="M11" s="8" t="n">
        <v>3</v>
      </c>
      <c r="N11" s="8" t="n">
        <v>3</v>
      </c>
      <c r="O11" s="8" t="n">
        <v>2</v>
      </c>
      <c r="P11" s="9">
        <f>IF(OR(F11&lt;&gt;M11,IF(AND(G11="",N11=""),FALSE,G11&lt;&gt;N11),IF(AND(H11="",O11=""),FALSE,H11&lt;&gt;O11)),"已改","")</f>
        <v/>
      </c>
      <c r="Q11" s="9" t="inlineStr">
        <is>
          <t>可组</t>
        </is>
      </c>
      <c r="R11" s="7" t="n"/>
    </row>
    <row r="12" ht="28" customHeight="1">
      <c r="A12" s="5" t="inlineStr">
        <is>
          <t>orlicas</t>
        </is>
      </c>
      <c r="B12" s="5" t="inlineStr">
        <is>
          <t>欧莉卡斯</t>
        </is>
      </c>
      <c r="C12" s="5" t="inlineStr">
        <is>
          <t>普卫岛</t>
        </is>
      </c>
      <c r="D12" s="5" t="inlineStr">
        <is>
          <t>随从</t>
        </is>
      </c>
      <c r="E12" s="5" t="inlineStr">
        <is>
          <t>传说</t>
        </is>
      </c>
      <c r="F12" s="6" t="n">
        <v>3</v>
      </c>
      <c r="G12" s="6" t="n">
        <v>2</v>
      </c>
      <c r="H12" s="6" t="n">
        <v>2</v>
      </c>
      <c r="I12" s="5" t="n">
        <v>1</v>
      </c>
      <c r="J12" s="7" t="inlineStr">
        <is>
          <t>登场</t>
        </is>
      </c>
      <c r="K12" s="7" t="inlineStr">
        <is>
          <t>登场：抽 1 张牌；引脉 4：再抽 1 张牌。</t>
        </is>
      </c>
      <c r="L12" s="7" t="inlineStr">
        <is>
          <t>battlecry:drawVein</t>
        </is>
      </c>
      <c r="M12" s="8" t="n">
        <v>3</v>
      </c>
      <c r="N12" s="8" t="n">
        <v>2</v>
      </c>
      <c r="O12" s="8" t="n">
        <v>2</v>
      </c>
      <c r="P12" s="9">
        <f>IF(OR(F12&lt;&gt;M12,IF(AND(G12="",N12=""),FALSE,G12&lt;&gt;N12),IF(AND(H12="",O12=""),FALSE,H12&lt;&gt;O12)),"已改","")</f>
        <v/>
      </c>
      <c r="Q12" s="9" t="inlineStr">
        <is>
          <t>可组</t>
        </is>
      </c>
      <c r="R12" s="7" t="n"/>
    </row>
    <row r="13" ht="28" customHeight="1">
      <c r="A13" s="5" t="inlineStr">
        <is>
          <t>guard</t>
        </is>
      </c>
      <c r="B13" s="5" t="inlineStr">
        <is>
          <t>保卫部步兵</t>
        </is>
      </c>
      <c r="C13" s="5" t="inlineStr">
        <is>
          <t>普卫岛</t>
        </is>
      </c>
      <c r="D13" s="5" t="inlineStr">
        <is>
          <t>随从</t>
        </is>
      </c>
      <c r="E13" s="5" t="inlineStr">
        <is>
          <t>普通</t>
        </is>
      </c>
      <c r="F13" s="6" t="n">
        <v>3</v>
      </c>
      <c r="G13" s="6" t="n">
        <v>1</v>
      </c>
      <c r="H13" s="6" t="n">
        <v>4</v>
      </c>
      <c r="I13" s="5" t="n">
        <v>2</v>
      </c>
      <c r="J13" s="7" t="inlineStr">
        <is>
          <t>拦截</t>
        </is>
      </c>
      <c r="K13" s="7" t="inlineStr">
        <is>
          <t>拦截。被动：该随从在场时，同阵位每有一个其他友方随从，本随从获得 +1/+0。</t>
        </is>
      </c>
      <c r="L13" s="7" t="inlineStr">
        <is>
          <t>zoneBonus:object</t>
        </is>
      </c>
      <c r="M13" s="8" t="n">
        <v>3</v>
      </c>
      <c r="N13" s="8" t="n">
        <v>1</v>
      </c>
      <c r="O13" s="8" t="n">
        <v>4</v>
      </c>
      <c r="P13" s="9">
        <f>IF(OR(F13&lt;&gt;M13,IF(AND(G13="",N13=""),FALSE,G13&lt;&gt;N13),IF(AND(H13="",O13=""),FALSE,H13&lt;&gt;O13)),"已改","")</f>
        <v/>
      </c>
      <c r="Q13" s="9" t="inlineStr">
        <is>
          <t>可组</t>
        </is>
      </c>
      <c r="R13" s="7" t="n"/>
    </row>
    <row r="14" ht="28" customHeight="1">
      <c r="A14" s="5" t="inlineStr">
        <is>
          <t>zone_keeper</t>
        </is>
      </c>
      <c r="B14" s="5" t="inlineStr">
        <is>
          <t>同阵守望者</t>
        </is>
      </c>
      <c r="C14" s="5" t="inlineStr">
        <is>
          <t>普卫岛</t>
        </is>
      </c>
      <c r="D14" s="5" t="inlineStr">
        <is>
          <t>随从</t>
        </is>
      </c>
      <c r="E14" s="5" t="inlineStr">
        <is>
          <t>稀有</t>
        </is>
      </c>
      <c r="F14" s="6" t="n">
        <v>3</v>
      </c>
      <c r="G14" s="6" t="n">
        <v>3</v>
      </c>
      <c r="H14" s="6" t="n">
        <v>2</v>
      </c>
      <c r="I14" s="5" t="n">
        <v>2</v>
      </c>
      <c r="J14" s="7" t="n"/>
      <c r="K14" s="7" t="inlineStr">
        <is>
          <t>被动：该随从在场时，同阵位每有一个其他友方随从，本随从获得 +1/+2。</t>
        </is>
      </c>
      <c r="L14" s="7" t="inlineStr">
        <is>
          <t>zoneBonus:object</t>
        </is>
      </c>
      <c r="M14" s="8" t="n">
        <v>3</v>
      </c>
      <c r="N14" s="8" t="n">
        <v>3</v>
      </c>
      <c r="O14" s="8" t="n">
        <v>2</v>
      </c>
      <c r="P14" s="9">
        <f>IF(OR(F14&lt;&gt;M14,IF(AND(G14="",N14=""),FALSE,G14&lt;&gt;N14),IF(AND(H14="",O14=""),FALSE,H14&lt;&gt;O14)),"已改","")</f>
        <v/>
      </c>
      <c r="Q14" s="9" t="inlineStr">
        <is>
          <t>可组</t>
        </is>
      </c>
      <c r="R14" s="7" t="n"/>
    </row>
    <row r="15" ht="28" customHeight="1">
      <c r="A15" s="5" t="inlineStr">
        <is>
          <t>formation_weaver</t>
        </is>
      </c>
      <c r="B15" s="5" t="inlineStr">
        <is>
          <t>阵线织者</t>
        </is>
      </c>
      <c r="C15" s="5" t="inlineStr">
        <is>
          <t>普卫岛</t>
        </is>
      </c>
      <c r="D15" s="5" t="inlineStr">
        <is>
          <t>随从</t>
        </is>
      </c>
      <c r="E15" s="5" t="inlineStr">
        <is>
          <t>史诗</t>
        </is>
      </c>
      <c r="F15" s="6" t="n">
        <v>3</v>
      </c>
      <c r="G15" s="6" t="n">
        <v>2</v>
      </c>
      <c r="H15" s="6" t="n">
        <v>3</v>
      </c>
      <c r="I15" s="5" t="n">
        <v>2</v>
      </c>
      <c r="J15" s="7" t="inlineStr">
        <is>
          <t>登场</t>
        </is>
      </c>
      <c r="K15" s="7" t="inlineStr">
        <is>
          <t>登场：若该卡被召唤到已经使用阵型卡的阵位，获得 +0/+1 并抽 1 张牌。</t>
        </is>
      </c>
      <c r="L15" s="7" t="inlineStr">
        <is>
          <t>battlecry:formationPayoff</t>
        </is>
      </c>
      <c r="M15" s="8" t="n">
        <v>3</v>
      </c>
      <c r="N15" s="8" t="n">
        <v>2</v>
      </c>
      <c r="O15" s="8" t="n">
        <v>3</v>
      </c>
      <c r="P15" s="9">
        <f>IF(OR(F15&lt;&gt;M15,IF(AND(G15="",N15=""),FALSE,G15&lt;&gt;N15),IF(AND(H15="",O15=""),FALSE,H15&lt;&gt;O15)),"已改","")</f>
        <v/>
      </c>
      <c r="Q15" s="9" t="inlineStr">
        <is>
          <t>可组</t>
        </is>
      </c>
      <c r="R15" s="7" t="n"/>
    </row>
    <row r="16" ht="28" customHeight="1">
      <c r="A16" s="5" t="inlineStr">
        <is>
          <t>spring_medic</t>
        </is>
      </c>
      <c r="B16" s="5" t="inlineStr">
        <is>
          <t>涌泉医师</t>
        </is>
      </c>
      <c r="C16" s="5" t="inlineStr">
        <is>
          <t>普卫岛</t>
        </is>
      </c>
      <c r="D16" s="5" t="inlineStr">
        <is>
          <t>随从</t>
        </is>
      </c>
      <c r="E16" s="5" t="inlineStr">
        <is>
          <t>普通</t>
        </is>
      </c>
      <c r="F16" s="6" t="n">
        <v>3</v>
      </c>
      <c r="G16" s="6" t="n">
        <v>2</v>
      </c>
      <c r="H16" s="6" t="n">
        <v>3</v>
      </c>
      <c r="I16" s="5" t="n">
        <v>2</v>
      </c>
      <c r="J16" s="7" t="inlineStr">
        <is>
          <t>登场</t>
        </is>
      </c>
      <c r="K16" s="7" t="inlineStr">
        <is>
          <t>登场：恢复所有友方随从 2 点生命。</t>
        </is>
      </c>
      <c r="L16" s="7" t="inlineStr">
        <is>
          <t>battlecry:healAllAllies</t>
        </is>
      </c>
      <c r="M16" s="8" t="n">
        <v>3</v>
      </c>
      <c r="N16" s="8" t="n">
        <v>2</v>
      </c>
      <c r="O16" s="8" t="n">
        <v>3</v>
      </c>
      <c r="P16" s="9">
        <f>IF(OR(F16&lt;&gt;M16,IF(AND(G16="",N16=""),FALSE,G16&lt;&gt;N16),IF(AND(H16="",O16=""),FALSE,H16&lt;&gt;O16)),"已改","")</f>
        <v/>
      </c>
      <c r="Q16" s="9" t="inlineStr">
        <is>
          <t>可组</t>
        </is>
      </c>
      <c r="R16" s="7" t="n"/>
    </row>
    <row r="17" ht="28" customHeight="1">
      <c r="A17" s="5" t="inlineStr">
        <is>
          <t>shextena</t>
        </is>
      </c>
      <c r="B17" s="5" t="inlineStr">
        <is>
          <t>希斯蒂娜</t>
        </is>
      </c>
      <c r="C17" s="5" t="inlineStr">
        <is>
          <t>普卫岛</t>
        </is>
      </c>
      <c r="D17" s="5" t="inlineStr">
        <is>
          <t>随从</t>
        </is>
      </c>
      <c r="E17" s="5" t="inlineStr">
        <is>
          <t>传说</t>
        </is>
      </c>
      <c r="F17" s="6" t="n">
        <v>4</v>
      </c>
      <c r="G17" s="6" t="n">
        <v>3</v>
      </c>
      <c r="H17" s="6" t="n">
        <v>3</v>
      </c>
      <c r="I17" s="5" t="n">
        <v>1</v>
      </c>
      <c r="J17" s="7" t="inlineStr">
        <is>
          <t>登场</t>
        </is>
      </c>
      <c r="K17" s="7" t="inlineStr">
        <is>
          <t>登场：恢复你的领袖 3 点生命；每实际恢复 1 点，希斯蒂娜获得 +1/+1。引脉 10：恢复你的领袖 3 点生命。</t>
        </is>
      </c>
      <c r="L17" s="7" t="inlineStr">
        <is>
          <t>battlecry:healHeroSelfBuff；veinTiers:1</t>
        </is>
      </c>
      <c r="M17" s="8" t="n">
        <v>4</v>
      </c>
      <c r="N17" s="8" t="n">
        <v>3</v>
      </c>
      <c r="O17" s="8" t="n">
        <v>3</v>
      </c>
      <c r="P17" s="9">
        <f>IF(OR(F17&lt;&gt;M17,IF(AND(G17="",N17=""),FALSE,G17&lt;&gt;N17),IF(AND(H17="",O17=""),FALSE,H17&lt;&gt;O17)),"已改","")</f>
        <v/>
      </c>
      <c r="Q17" s="9" t="inlineStr">
        <is>
          <t>可组</t>
        </is>
      </c>
      <c r="R17" s="7" t="n"/>
    </row>
    <row r="18" ht="28" customHeight="1">
      <c r="A18" s="5" t="inlineStr">
        <is>
          <t>verious</t>
        </is>
      </c>
      <c r="B18" s="5" t="inlineStr">
        <is>
          <t>维里欧斯</t>
        </is>
      </c>
      <c r="C18" s="5" t="inlineStr">
        <is>
          <t>普卫岛</t>
        </is>
      </c>
      <c r="D18" s="5" t="inlineStr">
        <is>
          <t>随从</t>
        </is>
      </c>
      <c r="E18" s="5" t="inlineStr">
        <is>
          <t>传说</t>
        </is>
      </c>
      <c r="F18" s="6" t="n">
        <v>4</v>
      </c>
      <c r="G18" s="6" t="n">
        <v>4</v>
      </c>
      <c r="H18" s="6" t="n">
        <v>2</v>
      </c>
      <c r="I18" s="5" t="n">
        <v>1</v>
      </c>
      <c r="J18" s="7" t="inlineStr">
        <is>
          <t>登场</t>
        </is>
      </c>
      <c r="K18" s="7" t="inlineStr">
        <is>
          <t>登场：沉默一个敌方随从；引脉 5：获得 +0/+2。</t>
        </is>
      </c>
      <c r="L18" s="7" t="inlineStr">
        <is>
          <t>battlecry:silenceVeinBuff</t>
        </is>
      </c>
      <c r="M18" s="8" t="n">
        <v>4</v>
      </c>
      <c r="N18" s="8" t="n">
        <v>4</v>
      </c>
      <c r="O18" s="8" t="n">
        <v>2</v>
      </c>
      <c r="P18" s="9">
        <f>IF(OR(F18&lt;&gt;M18,IF(AND(G18="",N18=""),FALSE,G18&lt;&gt;N18),IF(AND(H18="",O18=""),FALSE,H18&lt;&gt;O18)),"已改","")</f>
        <v/>
      </c>
      <c r="Q18" s="9" t="inlineStr">
        <is>
          <t>可组</t>
        </is>
      </c>
      <c r="R18" s="7" t="n"/>
    </row>
    <row r="19" ht="28" customHeight="1">
      <c r="A19" s="5" t="inlineStr">
        <is>
          <t>aidric</t>
        </is>
      </c>
      <c r="B19" s="5" t="inlineStr">
        <is>
          <t>艾德里克</t>
        </is>
      </c>
      <c r="C19" s="5" t="inlineStr">
        <is>
          <t>普卫岛</t>
        </is>
      </c>
      <c r="D19" s="5" t="inlineStr">
        <is>
          <t>随从</t>
        </is>
      </c>
      <c r="E19" s="5" t="inlineStr">
        <is>
          <t>传说</t>
        </is>
      </c>
      <c r="F19" s="6" t="n">
        <v>4</v>
      </c>
      <c r="G19" s="6" t="n">
        <v>2</v>
      </c>
      <c r="H19" s="6" t="n">
        <v>4</v>
      </c>
      <c r="I19" s="5" t="n">
        <v>1</v>
      </c>
      <c r="J19" s="7" t="inlineStr">
        <is>
          <t>拦截</t>
        </is>
      </c>
      <c r="K19" s="7" t="inlineStr">
        <is>
          <t>拦截。引脉 4/8：获得 +1/+1 / +2/+2。登场：若该随从对位有敌方随从，获得 3 点护甲。</t>
        </is>
      </c>
      <c r="L19" s="7" t="inlineStr">
        <is>
          <t>mirrorBonus:object；veinTiers:2</t>
        </is>
      </c>
      <c r="M19" s="8" t="n">
        <v>4</v>
      </c>
      <c r="N19" s="8" t="n">
        <v>2</v>
      </c>
      <c r="O19" s="8" t="n">
        <v>4</v>
      </c>
      <c r="P19" s="9">
        <f>IF(OR(F19&lt;&gt;M19,IF(AND(G19="",N19=""),FALSE,G19&lt;&gt;N19),IF(AND(H19="",O19=""),FALSE,H19&lt;&gt;O19)),"已改","")</f>
        <v/>
      </c>
      <c r="Q19" s="9" t="inlineStr">
        <is>
          <t>可组</t>
        </is>
      </c>
      <c r="R19" s="7" t="n"/>
    </row>
    <row r="20" ht="28" customHeight="1">
      <c r="A20" s="5" t="inlineStr">
        <is>
          <t>vein_engineer</t>
        </is>
      </c>
      <c r="B20" s="5" t="inlineStr">
        <is>
          <t>引脉工程师</t>
        </is>
      </c>
      <c r="C20" s="5" t="inlineStr">
        <is>
          <t>普卫岛</t>
        </is>
      </c>
      <c r="D20" s="5" t="inlineStr">
        <is>
          <t>随从</t>
        </is>
      </c>
      <c r="E20" s="5" t="inlineStr">
        <is>
          <t>史诗</t>
        </is>
      </c>
      <c r="F20" s="6" t="n">
        <v>4</v>
      </c>
      <c r="G20" s="6" t="n">
        <v>2</v>
      </c>
      <c r="H20" s="6" t="n">
        <v>3</v>
      </c>
      <c r="I20" s="5" t="n">
        <v>2</v>
      </c>
      <c r="J20" s="7" t="inlineStr">
        <is>
          <t>登场</t>
        </is>
      </c>
      <c r="K20" s="7" t="inlineStr">
        <is>
          <t>登场：流脉 +2；引脉 6：获得 +1/+1。</t>
        </is>
      </c>
      <c r="L20" s="7" t="inlineStr">
        <is>
          <t>battlecry:veinBuff</t>
        </is>
      </c>
      <c r="M20" s="8" t="n">
        <v>4</v>
      </c>
      <c r="N20" s="8" t="n">
        <v>2</v>
      </c>
      <c r="O20" s="8" t="n">
        <v>3</v>
      </c>
      <c r="P20" s="9">
        <f>IF(OR(F20&lt;&gt;M20,IF(AND(G20="",N20=""),FALSE,G20&lt;&gt;N20),IF(AND(H20="",O20=""),FALSE,H20&lt;&gt;O20)),"已改","")</f>
        <v/>
      </c>
      <c r="Q20" s="9" t="inlineStr">
        <is>
          <t>可组</t>
        </is>
      </c>
      <c r="R20" s="7" t="n"/>
    </row>
    <row r="21" ht="28" customHeight="1">
      <c r="A21" s="5" t="inlineStr">
        <is>
          <t>vein_oracle</t>
        </is>
      </c>
      <c r="B21" s="5" t="inlineStr">
        <is>
          <t>引脉先知</t>
        </is>
      </c>
      <c r="C21" s="5" t="inlineStr">
        <is>
          <t>普卫岛</t>
        </is>
      </c>
      <c r="D21" s="5" t="inlineStr">
        <is>
          <t>随从</t>
        </is>
      </c>
      <c r="E21" s="5" t="inlineStr">
        <is>
          <t>稀有</t>
        </is>
      </c>
      <c r="F21" s="6" t="n">
        <v>5</v>
      </c>
      <c r="G21" s="6" t="n">
        <v>4</v>
      </c>
      <c r="H21" s="6" t="n">
        <v>5</v>
      </c>
      <c r="I21" s="5" t="n">
        <v>2</v>
      </c>
      <c r="J21" s="7" t="n"/>
      <c r="K21" s="7" t="inlineStr">
        <is>
          <t>引脉 6：抽 1 张牌。</t>
        </is>
      </c>
      <c r="L21" s="7" t="inlineStr">
        <is>
          <t>veinTiers:1</t>
        </is>
      </c>
      <c r="M21" s="8" t="n">
        <v>5</v>
      </c>
      <c r="N21" s="8" t="n">
        <v>4</v>
      </c>
      <c r="O21" s="8" t="n">
        <v>5</v>
      </c>
      <c r="P21" s="9">
        <f>IF(OR(F21&lt;&gt;M21,IF(AND(G21="",N21=""),FALSE,G21&lt;&gt;N21),IF(AND(H21="",O21=""),FALSE,H21&lt;&gt;O21)),"已改","")</f>
        <v/>
      </c>
      <c r="Q21" s="9" t="inlineStr">
        <is>
          <t>可组</t>
        </is>
      </c>
      <c r="R21" s="7" t="n"/>
    </row>
    <row r="22" ht="28" customHeight="1">
      <c r="A22" s="5" t="inlineStr">
        <is>
          <t>miyuki</t>
        </is>
      </c>
      <c r="B22" s="5" t="inlineStr">
        <is>
          <t>深雪</t>
        </is>
      </c>
      <c r="C22" s="5" t="inlineStr">
        <is>
          <t>普卫岛</t>
        </is>
      </c>
      <c r="D22" s="5" t="inlineStr">
        <is>
          <t>随从</t>
        </is>
      </c>
      <c r="E22" s="5" t="inlineStr">
        <is>
          <t>传说</t>
        </is>
      </c>
      <c r="F22" s="6" t="n">
        <v>6</v>
      </c>
      <c r="G22" s="6" t="n">
        <v>5</v>
      </c>
      <c r="H22" s="6" t="n">
        <v>7</v>
      </c>
      <c r="I22" s="5" t="n">
        <v>1</v>
      </c>
      <c r="J22" s="7" t="inlineStr">
        <is>
          <t>登场</t>
        </is>
      </c>
      <c r="K22" s="7" t="inlineStr">
        <is>
          <t>登场：冻结场上除自己阵位以外的全部随从，包括友方。被动：深雪在场时，同阵位友方随从不会被冻结。</t>
        </is>
      </c>
      <c r="L22" s="7" t="inlineStr">
        <is>
          <t>battlecry:freezeAllExceptOwnZone</t>
        </is>
      </c>
      <c r="M22" s="8" t="n">
        <v>6</v>
      </c>
      <c r="N22" s="8" t="n">
        <v>5</v>
      </c>
      <c r="O22" s="8" t="n">
        <v>7</v>
      </c>
      <c r="P22" s="9">
        <f>IF(OR(F22&lt;&gt;M22,IF(AND(G22="",N22=""),FALSE,G22&lt;&gt;N22),IF(AND(H22="",O22=""),FALSE,H22&lt;&gt;O22)),"已改","")</f>
        <v/>
      </c>
      <c r="Q22" s="9" t="inlineStr">
        <is>
          <t>可组</t>
        </is>
      </c>
      <c r="R22" s="7" t="n"/>
    </row>
    <row r="23" ht="28" customHeight="1">
      <c r="A23" s="5" t="inlineStr">
        <is>
          <t>excavation_titan</t>
        </is>
      </c>
      <c r="B23" s="5" t="inlineStr">
        <is>
          <t>掘脉泰坦</t>
        </is>
      </c>
      <c r="C23" s="5" t="inlineStr">
        <is>
          <t>普卫岛</t>
        </is>
      </c>
      <c r="D23" s="5" t="inlineStr">
        <is>
          <t>随从</t>
        </is>
      </c>
      <c r="E23" s="5" t="inlineStr">
        <is>
          <t>稀有</t>
        </is>
      </c>
      <c r="F23" s="6" t="n">
        <v>7</v>
      </c>
      <c r="G23" s="6" t="n">
        <v>5</v>
      </c>
      <c r="H23" s="6" t="n">
        <v>6</v>
      </c>
      <c r="I23" s="5" t="n">
        <v>2</v>
      </c>
      <c r="J23" s="7" t="inlineStr">
        <is>
          <t>登场</t>
        </is>
      </c>
      <c r="K23" s="7" t="inlineStr">
        <is>
          <t>登场：流脉 +2。引脉 10：获得 +2/+1。</t>
        </is>
      </c>
      <c r="L23" s="7" t="inlineStr">
        <is>
          <t>battlecry:veinOnly；veinTiers:1</t>
        </is>
      </c>
      <c r="M23" s="8" t="n">
        <v>7</v>
      </c>
      <c r="N23" s="8" t="n">
        <v>5</v>
      </c>
      <c r="O23" s="8" t="n">
        <v>6</v>
      </c>
      <c r="P23" s="9">
        <f>IF(OR(F23&lt;&gt;M23,IF(AND(G23="",N23=""),FALSE,G23&lt;&gt;N23),IF(AND(H23="",O23=""),FALSE,H23&lt;&gt;O23)),"已改","")</f>
        <v/>
      </c>
      <c r="Q23" s="9" t="inlineStr">
        <is>
          <t>可组</t>
        </is>
      </c>
      <c r="R23" s="7" t="n"/>
    </row>
    <row r="24" ht="28" customHeight="1">
      <c r="A24" s="5" t="inlineStr">
        <is>
          <t>resonance</t>
        </is>
      </c>
      <c r="B24" s="5" t="inlineStr">
        <is>
          <t>流脉共鸣</t>
        </is>
      </c>
      <c r="C24" s="5" t="inlineStr">
        <is>
          <t>普卫岛</t>
        </is>
      </c>
      <c r="D24" s="5" t="inlineStr">
        <is>
          <t>战术</t>
        </is>
      </c>
      <c r="E24" s="5" t="inlineStr">
        <is>
          <t>普通</t>
        </is>
      </c>
      <c r="F24" s="6" t="n">
        <v>1</v>
      </c>
      <c r="G24" s="6" t="n"/>
      <c r="H24" s="6" t="n"/>
      <c r="I24" s="5" t="n">
        <v>2</v>
      </c>
      <c r="J24" s="7" t="n"/>
      <c r="K24" s="7" t="inlineStr">
        <is>
          <t>采掘 1。</t>
        </is>
      </c>
      <c r="L24" s="7" t="inlineStr">
        <is>
          <t>spell:drawGainVein</t>
        </is>
      </c>
      <c r="M24" s="8" t="n">
        <v>1</v>
      </c>
      <c r="N24" s="8" t="n"/>
      <c r="O24" s="8" t="n"/>
      <c r="P24" s="9">
        <f>IF(OR(F24&lt;&gt;M24,IF(AND(G24="",N24=""),FALSE,G24&lt;&gt;N24),IF(AND(H24="",O24=""),FALSE,H24&lt;&gt;O24)),"已改","")</f>
        <v/>
      </c>
      <c r="Q24" s="9" t="inlineStr">
        <is>
          <t>可组</t>
        </is>
      </c>
      <c r="R24" s="7" t="n"/>
    </row>
    <row r="25" ht="28" customHeight="1">
      <c r="A25" s="5" t="inlineStr">
        <is>
          <t>coordination</t>
        </is>
      </c>
      <c r="B25" s="5" t="inlineStr">
        <is>
          <t>协同调度</t>
        </is>
      </c>
      <c r="C25" s="5" t="inlineStr">
        <is>
          <t>普卫岛</t>
        </is>
      </c>
      <c r="D25" s="5" t="inlineStr">
        <is>
          <t>战术</t>
        </is>
      </c>
      <c r="E25" s="5" t="inlineStr">
        <is>
          <t>普通</t>
        </is>
      </c>
      <c r="F25" s="6" t="n">
        <v>2</v>
      </c>
      <c r="G25" s="6" t="n"/>
      <c r="H25" s="6" t="n"/>
      <c r="I25" s="5" t="n">
        <v>2</v>
      </c>
      <c r="J25" s="7" t="n"/>
      <c r="K25" s="7" t="inlineStr">
        <is>
          <t>使目标所在阵位的所有随从获得 +1/+1。</t>
        </is>
      </c>
      <c r="L25" s="7" t="inlineStr">
        <is>
          <t>spell:buffZone</t>
        </is>
      </c>
      <c r="M25" s="8" t="n">
        <v>2</v>
      </c>
      <c r="N25" s="8" t="n"/>
      <c r="O25" s="8" t="n"/>
      <c r="P25" s="9">
        <f>IF(OR(F25&lt;&gt;M25,IF(AND(G25="",N25=""),FALSE,G25&lt;&gt;N25),IF(AND(H25="",O25=""),FALSE,H25&lt;&gt;O25)),"已改","")</f>
        <v/>
      </c>
      <c r="Q25" s="9" t="inlineStr">
        <is>
          <t>可组</t>
        </is>
      </c>
      <c r="R25" s="7" t="n"/>
    </row>
    <row r="26" ht="28" customHeight="1">
      <c r="A26" s="5" t="inlineStr">
        <is>
          <t>emergency</t>
        </is>
      </c>
      <c r="B26" s="5" t="inlineStr">
        <is>
          <t>应急响应</t>
        </is>
      </c>
      <c r="C26" s="5" t="inlineStr">
        <is>
          <t>普卫岛</t>
        </is>
      </c>
      <c r="D26" s="5" t="inlineStr">
        <is>
          <t>战术</t>
        </is>
      </c>
      <c r="E26" s="5" t="inlineStr">
        <is>
          <t>普通</t>
        </is>
      </c>
      <c r="F26" s="6" t="n">
        <v>2</v>
      </c>
      <c r="G26" s="6" t="n"/>
      <c r="H26" s="6" t="n"/>
      <c r="I26" s="5" t="n">
        <v>2</v>
      </c>
      <c r="J26" s="7" t="n"/>
      <c r="K26" s="7" t="inlineStr">
        <is>
          <t>恢复一个友方随从 2 点生命；抽 1 张牌。</t>
        </is>
      </c>
      <c r="L26" s="7" t="inlineStr">
        <is>
          <t>spell:healDraw</t>
        </is>
      </c>
      <c r="M26" s="8" t="n">
        <v>2</v>
      </c>
      <c r="N26" s="8" t="n"/>
      <c r="O26" s="8" t="n"/>
      <c r="P26" s="9">
        <f>IF(OR(F26&lt;&gt;M26,IF(AND(G26="",N26=""),FALSE,G26&lt;&gt;N26),IF(AND(H26="",O26=""),FALSE,H26&lt;&gt;O26)),"已改","")</f>
        <v/>
      </c>
      <c r="Q26" s="9" t="inlineStr">
        <is>
          <t>可组</t>
        </is>
      </c>
      <c r="R26" s="7" t="n"/>
    </row>
    <row r="27" ht="28" customHeight="1">
      <c r="A27" s="5" t="inlineStr">
        <is>
          <t>vein_siphon</t>
        </is>
      </c>
      <c r="B27" s="5" t="inlineStr">
        <is>
          <t>引脉虹吸</t>
        </is>
      </c>
      <c r="C27" s="5" t="inlineStr">
        <is>
          <t>普卫岛</t>
        </is>
      </c>
      <c r="D27" s="5" t="inlineStr">
        <is>
          <t>战术</t>
        </is>
      </c>
      <c r="E27" s="5" t="inlineStr">
        <is>
          <t>稀有</t>
        </is>
      </c>
      <c r="F27" s="6" t="n">
        <v>2</v>
      </c>
      <c r="G27" s="6" t="n"/>
      <c r="H27" s="6" t="n"/>
      <c r="I27" s="5" t="n">
        <v>2</v>
      </c>
      <c r="J27" s="7" t="n"/>
      <c r="K27" s="7" t="inlineStr">
        <is>
          <t>恢复你的领袖 3 点生命；流脉 +2。</t>
        </is>
      </c>
      <c r="L27" s="7" t="inlineStr">
        <is>
          <t>spell:healVein</t>
        </is>
      </c>
      <c r="M27" s="8" t="n">
        <v>2</v>
      </c>
      <c r="N27" s="8" t="n"/>
      <c r="O27" s="8" t="n"/>
      <c r="P27" s="9">
        <f>IF(OR(F27&lt;&gt;M27,IF(AND(G27="",N27=""),FALSE,G27&lt;&gt;N27),IF(AND(H27="",O27=""),FALSE,H27&lt;&gt;O27)),"已改","")</f>
        <v/>
      </c>
      <c r="Q27" s="9" t="inlineStr">
        <is>
          <t>可组</t>
        </is>
      </c>
      <c r="R27" s="7" t="n"/>
    </row>
    <row r="28" ht="28" customHeight="1">
      <c r="A28" s="5" t="inlineStr">
        <is>
          <t>vein_echo</t>
        </is>
      </c>
      <c r="B28" s="5" t="inlineStr">
        <is>
          <t>地脉回响</t>
        </is>
      </c>
      <c r="C28" s="5" t="inlineStr">
        <is>
          <t>普卫岛</t>
        </is>
      </c>
      <c r="D28" s="5" t="inlineStr">
        <is>
          <t>战术</t>
        </is>
      </c>
      <c r="E28" s="5" t="inlineStr">
        <is>
          <t>普通</t>
        </is>
      </c>
      <c r="F28" s="6" t="n">
        <v>2</v>
      </c>
      <c r="G28" s="6" t="n"/>
      <c r="H28" s="6" t="n"/>
      <c r="I28" s="5" t="n">
        <v>2</v>
      </c>
      <c r="J28" s="7" t="n"/>
      <c r="K28" s="7" t="inlineStr">
        <is>
          <t>恢复你的领袖 3 点生命，并使流脉 +2；若流脉达到 7，抽 1 张牌。</t>
        </is>
      </c>
      <c r="L28" s="7" t="inlineStr">
        <is>
          <t>spell:healVeinDrawAt</t>
        </is>
      </c>
      <c r="M28" s="8" t="n">
        <v>2</v>
      </c>
      <c r="N28" s="8" t="n"/>
      <c r="O28" s="8" t="n"/>
      <c r="P28" s="9">
        <f>IF(OR(F28&lt;&gt;M28,IF(AND(G28="",N28=""),FALSE,G28&lt;&gt;N28),IF(AND(H28="",O28=""),FALSE,H28&lt;&gt;O28)),"已改","")</f>
        <v/>
      </c>
      <c r="Q28" s="9" t="inlineStr">
        <is>
          <t>可组</t>
        </is>
      </c>
      <c r="R28" s="7" t="n"/>
    </row>
    <row r="29" ht="28" customHeight="1">
      <c r="A29" s="5" t="inlineStr">
        <is>
          <t>formation_vein</t>
        </is>
      </c>
      <c r="B29" s="5" t="inlineStr">
        <is>
          <t>地脉阵线</t>
        </is>
      </c>
      <c r="C29" s="5" t="inlineStr">
        <is>
          <t>普卫岛</t>
        </is>
      </c>
      <c r="D29" s="5" t="inlineStr">
        <is>
          <t>阵型</t>
        </is>
      </c>
      <c r="E29" s="5" t="inlineStr">
        <is>
          <t>稀有</t>
        </is>
      </c>
      <c r="F29" s="6" t="n">
        <v>3</v>
      </c>
      <c r="G29" s="6" t="n"/>
      <c r="H29" s="6" t="n"/>
      <c r="I29" s="5" t="n">
        <v>2</v>
      </c>
      <c r="J29" s="7" t="n"/>
      <c r="K29" s="7" t="inlineStr">
        <is>
          <t>该阵位友方随从固定获得余响：恢复你的领袖 1 点生命。</t>
        </is>
      </c>
      <c r="L29" s="7" t="n"/>
      <c r="M29" s="8" t="n">
        <v>3</v>
      </c>
      <c r="N29" s="8" t="n"/>
      <c r="O29" s="8" t="n"/>
      <c r="P29" s="9">
        <f>IF(OR(F29&lt;&gt;M29,IF(AND(G29="",N29=""),FALSE,G29&lt;&gt;N29),IF(AND(H29="",O29=""),FALSE,H29&lt;&gt;O29)),"已改","")</f>
        <v/>
      </c>
      <c r="Q29" s="9" t="inlineStr">
        <is>
          <t>可组</t>
        </is>
      </c>
      <c r="R29" s="7" t="n"/>
    </row>
    <row r="30" ht="28" customHeight="1">
      <c r="A30" s="5" t="inlineStr">
        <is>
          <t>formation_bastion</t>
        </is>
      </c>
      <c r="B30" s="5" t="inlineStr">
        <is>
          <t>磐石阵线</t>
        </is>
      </c>
      <c r="C30" s="5" t="inlineStr">
        <is>
          <t>普卫岛</t>
        </is>
      </c>
      <c r="D30" s="5" t="inlineStr">
        <is>
          <t>阵型</t>
        </is>
      </c>
      <c r="E30" s="5" t="inlineStr">
        <is>
          <t>稀有</t>
        </is>
      </c>
      <c r="F30" s="6" t="n">
        <v>4</v>
      </c>
      <c r="G30" s="6" t="n"/>
      <c r="H30" s="6" t="n"/>
      <c r="I30" s="5" t="n">
        <v>2</v>
      </c>
      <c r="J30" s="7" t="n"/>
      <c r="K30" s="7" t="inlineStr">
        <is>
          <t>该阵位友方随从固定获得拦截。</t>
        </is>
      </c>
      <c r="L30" s="7" t="n"/>
      <c r="M30" s="8" t="n">
        <v>4</v>
      </c>
      <c r="N30" s="8" t="n"/>
      <c r="O30" s="8" t="n"/>
      <c r="P30" s="9">
        <f>IF(OR(F30&lt;&gt;M30,IF(AND(G30="",N30=""),FALSE,G30&lt;&gt;N30),IF(AND(H30="",O30=""),FALSE,H30&lt;&gt;O30)),"已改","")</f>
        <v/>
      </c>
      <c r="Q30" s="9" t="inlineStr">
        <is>
          <t>可组</t>
        </is>
      </c>
      <c r="R30" s="7" t="n"/>
    </row>
    <row r="31" ht="28" customHeight="1">
      <c r="A31" s="5" t="inlineStr">
        <is>
          <t>vein_heart</t>
        </is>
      </c>
      <c r="B31" s="5" t="inlineStr">
        <is>
          <t>地脉之心</t>
        </is>
      </c>
      <c r="C31" s="5" t="inlineStr">
        <is>
          <t>普卫岛</t>
        </is>
      </c>
      <c r="D31" s="5" t="inlineStr">
        <is>
          <t>遗物</t>
        </is>
      </c>
      <c r="E31" s="5" t="inlineStr">
        <is>
          <t>史诗</t>
        </is>
      </c>
      <c r="F31" s="6" t="n">
        <v>3</v>
      </c>
      <c r="G31" s="6" t="n"/>
      <c r="H31" s="6" t="n"/>
      <c r="I31" s="5" t="n">
        <v>1</v>
      </c>
      <c r="J31" s="7" t="n"/>
      <c r="K31" s="7" t="inlineStr">
        <is>
          <t>遗物：每触发一次引脉，恢复你的领袖 2 点生命。</t>
        </is>
      </c>
      <c r="L31" s="7" t="n"/>
      <c r="M31" s="8" t="n">
        <v>3</v>
      </c>
      <c r="N31" s="8" t="n"/>
      <c r="O31" s="8" t="n"/>
      <c r="P31" s="9">
        <f>IF(OR(F31&lt;&gt;M31,IF(AND(G31="",N31=""),FALSE,G31&lt;&gt;N31),IF(AND(H31="",O31=""),FALSE,H31&lt;&gt;O31)),"已改","")</f>
        <v/>
      </c>
      <c r="Q31" s="10" t="inlineStr">
        <is>
          <t>遗物</t>
        </is>
      </c>
      <c r="R31" s="7" t="n"/>
    </row>
    <row r="32" ht="28" customHeight="1">
      <c r="A32" s="5" t="inlineStr">
        <is>
          <t>formation_standard</t>
        </is>
      </c>
      <c r="B32" s="5" t="inlineStr">
        <is>
          <t>阵线旗标</t>
        </is>
      </c>
      <c r="C32" s="5" t="inlineStr">
        <is>
          <t>普卫岛</t>
        </is>
      </c>
      <c r="D32" s="5" t="inlineStr">
        <is>
          <t>遗物</t>
        </is>
      </c>
      <c r="E32" s="5" t="inlineStr">
        <is>
          <t>史诗</t>
        </is>
      </c>
      <c r="F32" s="6" t="n">
        <v>3</v>
      </c>
      <c r="G32" s="6" t="n"/>
      <c r="H32" s="6" t="n"/>
      <c r="I32" s="5" t="n">
        <v>1</v>
      </c>
      <c r="J32" s="7" t="n"/>
      <c r="K32" s="7" t="inlineStr">
        <is>
          <t>遗物：使用过阵型卡的阵位上，所有随从固定获得 +1/+0。</t>
        </is>
      </c>
      <c r="L32" s="7" t="n"/>
      <c r="M32" s="8" t="n">
        <v>3</v>
      </c>
      <c r="N32" s="8" t="n"/>
      <c r="O32" s="8" t="n"/>
      <c r="P32" s="9">
        <f>IF(OR(F32&lt;&gt;M32,IF(AND(G32="",N32=""),FALSE,G32&lt;&gt;N32),IF(AND(H32="",O32=""),FALSE,H32&lt;&gt;O32)),"已改","")</f>
        <v/>
      </c>
      <c r="Q32" s="10" t="inlineStr">
        <is>
          <t>遗物</t>
        </is>
      </c>
      <c r="R32" s="7" t="n"/>
    </row>
    <row r="33" ht="28" customHeight="1">
      <c r="A33" s="12" t="inlineStr">
        <is>
          <t>doorman</t>
        </is>
      </c>
      <c r="B33" s="12" t="inlineStr">
        <is>
          <t>老门房</t>
        </is>
      </c>
      <c r="C33" s="12" t="inlineStr">
        <is>
          <t>学院</t>
        </is>
      </c>
      <c r="D33" s="12" t="inlineStr">
        <is>
          <t>随从</t>
        </is>
      </c>
      <c r="E33" s="12" t="inlineStr">
        <is>
          <t>普通</t>
        </is>
      </c>
      <c r="F33" s="6" t="n">
        <v>1</v>
      </c>
      <c r="G33" s="6" t="n">
        <v>1</v>
      </c>
      <c r="H33" s="6" t="n">
        <v>3</v>
      </c>
      <c r="I33" s="12" t="n">
        <v>2</v>
      </c>
      <c r="J33" s="13" t="inlineStr">
        <is>
          <t>拦截</t>
        </is>
      </c>
      <c r="K33" s="13" t="inlineStr">
        <is>
          <t>拦截。</t>
        </is>
      </c>
      <c r="L33" s="13" t="n"/>
      <c r="M33" s="8" t="n">
        <v>1</v>
      </c>
      <c r="N33" s="8" t="n">
        <v>1</v>
      </c>
      <c r="O33" s="8" t="n">
        <v>3</v>
      </c>
      <c r="P33" s="14">
        <f>IF(OR(F33&lt;&gt;M33,IF(AND(G33="",N33=""),FALSE,G33&lt;&gt;N33),IF(AND(H33="",O33=""),FALSE,H33&lt;&gt;O33)),"已改","")</f>
        <v/>
      </c>
      <c r="Q33" s="14" t="inlineStr">
        <is>
          <t>可组</t>
        </is>
      </c>
      <c r="R33" s="13" t="n"/>
    </row>
    <row r="34" ht="28" customHeight="1">
      <c r="A34" s="12" t="inlineStr">
        <is>
          <t>spell_novice</t>
        </is>
      </c>
      <c r="B34" s="12" t="inlineStr">
        <is>
          <t>法术学徒</t>
        </is>
      </c>
      <c r="C34" s="12" t="inlineStr">
        <is>
          <t>学院</t>
        </is>
      </c>
      <c r="D34" s="12" t="inlineStr">
        <is>
          <t>随从</t>
        </is>
      </c>
      <c r="E34" s="12" t="inlineStr">
        <is>
          <t>普通</t>
        </is>
      </c>
      <c r="F34" s="6" t="n">
        <v>1</v>
      </c>
      <c r="G34" s="6" t="n">
        <v>1</v>
      </c>
      <c r="H34" s="6" t="n">
        <v>1</v>
      </c>
      <c r="I34" s="12" t="n">
        <v>2</v>
      </c>
      <c r="J34" s="13" t="inlineStr">
        <is>
          <t>登场</t>
        </is>
      </c>
      <c r="K34" s="13" t="inlineStr">
        <is>
          <t>登场：本回合你的下一张战术牌的行动力消耗 -1。</t>
        </is>
      </c>
      <c r="L34" s="13" t="inlineStr">
        <is>
          <t>battlecry:discountSpellTurn</t>
        </is>
      </c>
      <c r="M34" s="8" t="n">
        <v>1</v>
      </c>
      <c r="N34" s="8" t="n">
        <v>1</v>
      </c>
      <c r="O34" s="8" t="n">
        <v>1</v>
      </c>
      <c r="P34" s="14">
        <f>IF(OR(F34&lt;&gt;M34,IF(AND(G34="",N34=""),FALSE,G34&lt;&gt;N34),IF(AND(H34="",O34=""),FALSE,H34&lt;&gt;O34)),"已改","")</f>
        <v/>
      </c>
      <c r="Q34" s="14" t="inlineStr">
        <is>
          <t>可组</t>
        </is>
      </c>
      <c r="R34" s="13" t="n"/>
    </row>
    <row r="35" ht="28" customHeight="1">
      <c r="A35" s="12" t="inlineStr">
        <is>
          <t>samuel</t>
        </is>
      </c>
      <c r="B35" s="12" t="inlineStr">
        <is>
          <t>塞缪尔·奎因</t>
        </is>
      </c>
      <c r="C35" s="12" t="inlineStr">
        <is>
          <t>学院</t>
        </is>
      </c>
      <c r="D35" s="12" t="inlineStr">
        <is>
          <t>随从</t>
        </is>
      </c>
      <c r="E35" s="12" t="inlineStr">
        <is>
          <t>传说</t>
        </is>
      </c>
      <c r="F35" s="6" t="n">
        <v>2</v>
      </c>
      <c r="G35" s="6" t="n">
        <v>2</v>
      </c>
      <c r="H35" s="6" t="n">
        <v>2</v>
      </c>
      <c r="I35" s="12" t="n">
        <v>1</v>
      </c>
      <c r="J35" s="13" t="inlineStr">
        <is>
          <t>登场</t>
        </is>
      </c>
      <c r="K35" s="13" t="inlineStr">
        <is>
          <t>登场：随机冻结一名敌方随从。</t>
        </is>
      </c>
      <c r="L35" s="13" t="inlineStr">
        <is>
          <t>battlecry:randomFreeze</t>
        </is>
      </c>
      <c r="M35" s="8" t="n">
        <v>2</v>
      </c>
      <c r="N35" s="8" t="n">
        <v>2</v>
      </c>
      <c r="O35" s="8" t="n">
        <v>2</v>
      </c>
      <c r="P35" s="14">
        <f>IF(OR(F35&lt;&gt;M35,IF(AND(G35="",N35=""),FALSE,G35&lt;&gt;N35),IF(AND(H35="",O35=""),FALSE,H35&lt;&gt;O35)),"已改","")</f>
        <v/>
      </c>
      <c r="Q35" s="14" t="inlineStr">
        <is>
          <t>可组</t>
        </is>
      </c>
      <c r="R35" s="13" t="n"/>
    </row>
    <row r="36" ht="28" customHeight="1">
      <c r="A36" s="12" t="inlineStr">
        <is>
          <t>reflux_apprentice</t>
        </is>
      </c>
      <c r="B36" s="12" t="inlineStr">
        <is>
          <t>逆流学徒</t>
        </is>
      </c>
      <c r="C36" s="12" t="inlineStr">
        <is>
          <t>学院</t>
        </is>
      </c>
      <c r="D36" s="12" t="inlineStr">
        <is>
          <t>随从</t>
        </is>
      </c>
      <c r="E36" s="12" t="inlineStr">
        <is>
          <t>稀有</t>
        </is>
      </c>
      <c r="F36" s="6" t="n">
        <v>2</v>
      </c>
      <c r="G36" s="6" t="n">
        <v>2</v>
      </c>
      <c r="H36" s="6" t="n">
        <v>1</v>
      </c>
      <c r="I36" s="12" t="n">
        <v>2</v>
      </c>
      <c r="J36" s="13" t="inlineStr">
        <is>
          <t>登场</t>
        </is>
      </c>
      <c r="K36" s="13" t="inlineStr">
        <is>
          <t>逆流 1：若本回合你施放过战术牌，抽 1 张牌。</t>
        </is>
      </c>
      <c r="L36" s="13" t="inlineStr">
        <is>
          <t>battlecry:spellDraw</t>
        </is>
      </c>
      <c r="M36" s="8" t="n">
        <v>2</v>
      </c>
      <c r="N36" s="8" t="n">
        <v>2</v>
      </c>
      <c r="O36" s="8" t="n">
        <v>1</v>
      </c>
      <c r="P36" s="14">
        <f>IF(OR(F36&lt;&gt;M36,IF(AND(G36="",N36=""),FALSE,G36&lt;&gt;N36),IF(AND(H36="",O36=""),FALSE,H36&lt;&gt;O36)),"已改","")</f>
        <v/>
      </c>
      <c r="Q36" s="14" t="inlineStr">
        <is>
          <t>可组</t>
        </is>
      </c>
      <c r="R36" s="13" t="n"/>
    </row>
    <row r="37" ht="28" customHeight="1">
      <c r="A37" s="12" t="inlineStr">
        <is>
          <t>justus</t>
        </is>
      </c>
      <c r="B37" s="12" t="inlineStr">
        <is>
          <t>尤斯图斯·维尔纳</t>
        </is>
      </c>
      <c r="C37" s="12" t="inlineStr">
        <is>
          <t>学院</t>
        </is>
      </c>
      <c r="D37" s="12" t="inlineStr">
        <is>
          <t>随从</t>
        </is>
      </c>
      <c r="E37" s="12" t="inlineStr">
        <is>
          <t>传说</t>
        </is>
      </c>
      <c r="F37" s="6" t="n">
        <v>3</v>
      </c>
      <c r="G37" s="6" t="n">
        <v>2</v>
      </c>
      <c r="H37" s="6" t="n">
        <v>3</v>
      </c>
      <c r="I37" s="12" t="n">
        <v>1</v>
      </c>
      <c r="J37" s="13" t="inlineStr">
        <is>
          <t>登场</t>
        </is>
      </c>
      <c r="K37" s="13" t="inlineStr">
        <is>
          <t>登场：复制你手牌中行动力消耗最低的战术牌。</t>
        </is>
      </c>
      <c r="L37" s="13" t="inlineStr">
        <is>
          <t>battlecry:copyLowestSpell</t>
        </is>
      </c>
      <c r="M37" s="8" t="n">
        <v>3</v>
      </c>
      <c r="N37" s="8" t="n">
        <v>2</v>
      </c>
      <c r="O37" s="8" t="n">
        <v>3</v>
      </c>
      <c r="P37" s="14">
        <f>IF(OR(F37&lt;&gt;M37,IF(AND(G37="",N37=""),FALSE,G37&lt;&gt;N37),IF(AND(H37="",O37=""),FALSE,H37&lt;&gt;O37)),"已改","")</f>
        <v/>
      </c>
      <c r="Q37" s="14" t="inlineStr">
        <is>
          <t>可组</t>
        </is>
      </c>
      <c r="R37" s="13" t="n"/>
    </row>
    <row r="38" ht="28" customHeight="1">
      <c r="A38" s="12" t="inlineStr">
        <is>
          <t>nina</t>
        </is>
      </c>
      <c r="B38" s="12" t="inlineStr">
        <is>
          <t>妮娜·索雷尔</t>
        </is>
      </c>
      <c r="C38" s="12" t="inlineStr">
        <is>
          <t>学院</t>
        </is>
      </c>
      <c r="D38" s="12" t="inlineStr">
        <is>
          <t>随从</t>
        </is>
      </c>
      <c r="E38" s="12" t="inlineStr">
        <is>
          <t>传说</t>
        </is>
      </c>
      <c r="F38" s="6" t="n">
        <v>3</v>
      </c>
      <c r="G38" s="6" t="n">
        <v>3</v>
      </c>
      <c r="H38" s="6" t="n">
        <v>3</v>
      </c>
      <c r="I38" s="12" t="n">
        <v>1</v>
      </c>
      <c r="J38" s="13" t="inlineStr">
        <is>
          <t>登场</t>
        </is>
      </c>
      <c r="K38" s="13" t="inlineStr">
        <is>
          <t>逆流 1：冻结目标所在阵位的所有敌方随从。</t>
        </is>
      </c>
      <c r="L38" s="13" t="inlineStr">
        <is>
          <t>battlecry:freezeZone</t>
        </is>
      </c>
      <c r="M38" s="8" t="n">
        <v>3</v>
      </c>
      <c r="N38" s="8" t="n">
        <v>3</v>
      </c>
      <c r="O38" s="8" t="n">
        <v>3</v>
      </c>
      <c r="P38" s="14">
        <f>IF(OR(F38&lt;&gt;M38,IF(AND(G38="",N38=""),FALSE,G38&lt;&gt;N38),IF(AND(H38="",O38=""),FALSE,H38&lt;&gt;O38)),"已改","")</f>
        <v/>
      </c>
      <c r="Q38" s="14" t="inlineStr">
        <is>
          <t>可组</t>
        </is>
      </c>
      <c r="R38" s="13" t="n"/>
    </row>
    <row r="39" ht="28" customHeight="1">
      <c r="A39" s="12" t="inlineStr">
        <is>
          <t>lecturer</t>
        </is>
      </c>
      <c r="B39" s="12" t="inlineStr">
        <is>
          <t>学院讲师</t>
        </is>
      </c>
      <c r="C39" s="12" t="inlineStr">
        <is>
          <t>学院</t>
        </is>
      </c>
      <c r="D39" s="12" t="inlineStr">
        <is>
          <t>随从</t>
        </is>
      </c>
      <c r="E39" s="12" t="inlineStr">
        <is>
          <t>普通</t>
        </is>
      </c>
      <c r="F39" s="6" t="n">
        <v>3</v>
      </c>
      <c r="G39" s="6" t="n">
        <v>3</v>
      </c>
      <c r="H39" s="6" t="n">
        <v>2</v>
      </c>
      <c r="I39" s="12" t="n">
        <v>2</v>
      </c>
      <c r="J39" s="13" t="inlineStr">
        <is>
          <t>登场</t>
        </is>
      </c>
      <c r="K39" s="13" t="inlineStr">
        <is>
          <t>逆流 1：抽 1 张牌。</t>
        </is>
      </c>
      <c r="L39" s="13" t="inlineStr">
        <is>
          <t>battlecry:draw</t>
        </is>
      </c>
      <c r="M39" s="8" t="n">
        <v>3</v>
      </c>
      <c r="N39" s="8" t="n">
        <v>3</v>
      </c>
      <c r="O39" s="8" t="n">
        <v>2</v>
      </c>
      <c r="P39" s="14">
        <f>IF(OR(F39&lt;&gt;M39,IF(AND(G39="",N39=""),FALSE,G39&lt;&gt;N39),IF(AND(H39="",O39=""),FALSE,H39&lt;&gt;O39)),"已改","")</f>
        <v/>
      </c>
      <c r="Q39" s="14" t="inlineStr">
        <is>
          <t>可组</t>
        </is>
      </c>
      <c r="R39" s="13" t="n"/>
    </row>
    <row r="40" ht="28" customHeight="1">
      <c r="A40" s="12" t="inlineStr">
        <is>
          <t>spell_echo</t>
        </is>
      </c>
      <c r="B40" s="12" t="inlineStr">
        <is>
          <t>法术回响</t>
        </is>
      </c>
      <c r="C40" s="12" t="inlineStr">
        <is>
          <t>学院</t>
        </is>
      </c>
      <c r="D40" s="12" t="inlineStr">
        <is>
          <t>随从</t>
        </is>
      </c>
      <c r="E40" s="12" t="inlineStr">
        <is>
          <t>稀有</t>
        </is>
      </c>
      <c r="F40" s="6" t="n">
        <v>3</v>
      </c>
      <c r="G40" s="6" t="n">
        <v>2</v>
      </c>
      <c r="H40" s="6" t="n">
        <v>2</v>
      </c>
      <c r="I40" s="12" t="n">
        <v>2</v>
      </c>
      <c r="J40" s="13" t="inlineStr">
        <is>
          <t>登场</t>
        </is>
      </c>
      <c r="K40" s="13" t="inlineStr">
        <is>
          <t>登场：检索一张战术牌。</t>
        </is>
      </c>
      <c r="L40" s="13" t="inlineStr">
        <is>
          <t>battlecry:discover</t>
        </is>
      </c>
      <c r="M40" s="8" t="n">
        <v>3</v>
      </c>
      <c r="N40" s="8" t="n">
        <v>2</v>
      </c>
      <c r="O40" s="8" t="n">
        <v>2</v>
      </c>
      <c r="P40" s="14">
        <f>IF(OR(F40&lt;&gt;M40,IF(AND(G40="",N40=""),FALSE,G40&lt;&gt;N40),IF(AND(H40="",O40=""),FALSE,H40&lt;&gt;O40)),"已改","")</f>
        <v/>
      </c>
      <c r="Q40" s="14" t="inlineStr">
        <is>
          <t>可组</t>
        </is>
      </c>
      <c r="R40" s="13" t="n"/>
    </row>
    <row r="41" ht="28" customHeight="1">
      <c r="A41" s="12" t="inlineStr">
        <is>
          <t>zone_archivist</t>
        </is>
      </c>
      <c r="B41" s="12" t="inlineStr">
        <is>
          <t>三阵记录员</t>
        </is>
      </c>
      <c r="C41" s="12" t="inlineStr">
        <is>
          <t>学院</t>
        </is>
      </c>
      <c r="D41" s="12" t="inlineStr">
        <is>
          <t>随从</t>
        </is>
      </c>
      <c r="E41" s="12" t="inlineStr">
        <is>
          <t>稀有</t>
        </is>
      </c>
      <c r="F41" s="6" t="n">
        <v>3</v>
      </c>
      <c r="G41" s="6" t="n">
        <v>2</v>
      </c>
      <c r="H41" s="6" t="n">
        <v>4</v>
      </c>
      <c r="I41" s="12" t="n">
        <v>2</v>
      </c>
      <c r="J41" s="13" t="inlineStr">
        <is>
          <t>被动</t>
        </is>
      </c>
      <c r="K41" s="13" t="inlineStr">
        <is>
          <t>被动：每当一个友方随从死亡，获得一张 0 行动力「记录弹」。</t>
        </is>
      </c>
      <c r="L41" s="13" t="inlineStr">
        <is>
          <t>passive:deathRecordShot</t>
        </is>
      </c>
      <c r="M41" s="8" t="n">
        <v>3</v>
      </c>
      <c r="N41" s="8" t="n">
        <v>2</v>
      </c>
      <c r="O41" s="8" t="n">
        <v>4</v>
      </c>
      <c r="P41" s="14">
        <f>IF(OR(F41&lt;&gt;M41,IF(AND(G41="",N41=""),FALSE,G41&lt;&gt;N41),IF(AND(H41="",O41=""),FALSE,H41&lt;&gt;O41)),"已改","")</f>
        <v/>
      </c>
      <c r="Q41" s="14" t="inlineStr">
        <is>
          <t>可组</t>
        </is>
      </c>
      <c r="R41" s="13" t="n"/>
    </row>
    <row r="42" ht="28" customHeight="1">
      <c r="A42" s="12" t="inlineStr">
        <is>
          <t>spell_conductor</t>
        </is>
      </c>
      <c r="B42" s="12" t="inlineStr">
        <is>
          <t>法术指挥</t>
        </is>
      </c>
      <c r="C42" s="12" t="inlineStr">
        <is>
          <t>学院</t>
        </is>
      </c>
      <c r="D42" s="12" t="inlineStr">
        <is>
          <t>随从</t>
        </is>
      </c>
      <c r="E42" s="12" t="inlineStr">
        <is>
          <t>史诗</t>
        </is>
      </c>
      <c r="F42" s="6" t="n">
        <v>3</v>
      </c>
      <c r="G42" s="6" t="n">
        <v>2</v>
      </c>
      <c r="H42" s="6" t="n">
        <v>4</v>
      </c>
      <c r="I42" s="12" t="n">
        <v>2</v>
      </c>
      <c r="J42" s="13" t="n"/>
      <c r="K42" s="13" t="inlineStr">
        <is>
          <t>被动：你每施放一张战术牌，获得 +1/+1。</t>
        </is>
      </c>
      <c r="L42" s="13" t="inlineStr">
        <is>
          <t>passive:spellGrowth</t>
        </is>
      </c>
      <c r="M42" s="8" t="n">
        <v>3</v>
      </c>
      <c r="N42" s="8" t="n">
        <v>2</v>
      </c>
      <c r="O42" s="8" t="n">
        <v>4</v>
      </c>
      <c r="P42" s="14">
        <f>IF(OR(F42&lt;&gt;M42,IF(AND(G42="",N42=""),FALSE,G42&lt;&gt;N42),IF(AND(H42="",O42=""),FALSE,H42&lt;&gt;O42)),"已改","")</f>
        <v/>
      </c>
      <c r="Q42" s="14" t="inlineStr">
        <is>
          <t>可组</t>
        </is>
      </c>
      <c r="R42" s="13" t="n"/>
    </row>
    <row r="43" ht="28" customHeight="1">
      <c r="A43" s="12" t="inlineStr">
        <is>
          <t>karl_desmond</t>
        </is>
      </c>
      <c r="B43" s="12" t="inlineStr">
        <is>
          <t>卡尔·德斯蒙德</t>
        </is>
      </c>
      <c r="C43" s="12" t="inlineStr">
        <is>
          <t>学院</t>
        </is>
      </c>
      <c r="D43" s="12" t="inlineStr">
        <is>
          <t>随从</t>
        </is>
      </c>
      <c r="E43" s="12" t="inlineStr">
        <is>
          <t>传说</t>
        </is>
      </c>
      <c r="F43" s="6" t="n">
        <v>4</v>
      </c>
      <c r="G43" s="6" t="n">
        <v>2</v>
      </c>
      <c r="H43" s="6" t="n">
        <v>4</v>
      </c>
      <c r="I43" s="12" t="n">
        <v>1</v>
      </c>
      <c r="J43" s="13" t="inlineStr">
        <is>
          <t>被动</t>
        </is>
      </c>
      <c r="K43" s="13" t="inlineStr">
        <is>
          <t>被动：每当一个友方随从死亡，检索一张战术牌。</t>
        </is>
      </c>
      <c r="L43" s="13" t="inlineStr">
        <is>
          <t>passive:deathDiscoverSpell</t>
        </is>
      </c>
      <c r="M43" s="8" t="n">
        <v>4</v>
      </c>
      <c r="N43" s="8" t="n">
        <v>2</v>
      </c>
      <c r="O43" s="8" t="n">
        <v>4</v>
      </c>
      <c r="P43" s="14">
        <f>IF(OR(F43&lt;&gt;M43,IF(AND(G43="",N43=""),FALSE,G43&lt;&gt;N43),IF(AND(H43="",O43=""),FALSE,H43&lt;&gt;O43)),"已改","")</f>
        <v/>
      </c>
      <c r="Q43" s="14" t="inlineStr">
        <is>
          <t>可组</t>
        </is>
      </c>
      <c r="R43" s="13" t="n"/>
    </row>
    <row r="44" ht="28" customHeight="1">
      <c r="A44" s="12" t="inlineStr">
        <is>
          <t>arcane_conduit</t>
        </is>
      </c>
      <c r="B44" s="12" t="inlineStr">
        <is>
          <t>奥术导管</t>
        </is>
      </c>
      <c r="C44" s="12" t="inlineStr">
        <is>
          <t>学院</t>
        </is>
      </c>
      <c r="D44" s="12" t="inlineStr">
        <is>
          <t>随从</t>
        </is>
      </c>
      <c r="E44" s="12" t="inlineStr">
        <is>
          <t>稀有</t>
        </is>
      </c>
      <c r="F44" s="6" t="n">
        <v>4</v>
      </c>
      <c r="G44" s="6" t="n">
        <v>1</v>
      </c>
      <c r="H44" s="6" t="n">
        <v>5</v>
      </c>
      <c r="I44" s="12" t="n">
        <v>2</v>
      </c>
      <c r="J44" s="13" t="inlineStr">
        <is>
          <t>被动</t>
        </is>
      </c>
      <c r="K44" s="13" t="inlineStr">
        <is>
          <t>被动：每当你施放一张战术牌，抽 1 张牌。</t>
        </is>
      </c>
      <c r="L44" s="13" t="inlineStr">
        <is>
          <t>passive:spellDrawOne</t>
        </is>
      </c>
      <c r="M44" s="8" t="n">
        <v>4</v>
      </c>
      <c r="N44" s="8" t="n">
        <v>1</v>
      </c>
      <c r="O44" s="8" t="n">
        <v>5</v>
      </c>
      <c r="P44" s="14">
        <f>IF(OR(F44&lt;&gt;M44,IF(AND(G44="",N44=""),FALSE,G44&lt;&gt;N44),IF(AND(H44="",O44=""),FALSE,H44&lt;&gt;O44)),"已改","")</f>
        <v/>
      </c>
      <c r="Q44" s="14" t="inlineStr">
        <is>
          <t>可组</t>
        </is>
      </c>
      <c r="R44" s="13" t="n"/>
    </row>
    <row r="45" ht="28" customHeight="1">
      <c r="A45" s="12" t="inlineStr">
        <is>
          <t>arcane_theorist</t>
        </is>
      </c>
      <c r="B45" s="12" t="inlineStr">
        <is>
          <t>奥术理论家</t>
        </is>
      </c>
      <c r="C45" s="12" t="inlineStr">
        <is>
          <t>学院</t>
        </is>
      </c>
      <c r="D45" s="12" t="inlineStr">
        <is>
          <t>随从</t>
        </is>
      </c>
      <c r="E45" s="12" t="inlineStr">
        <is>
          <t>传说</t>
        </is>
      </c>
      <c r="F45" s="6" t="n">
        <v>4</v>
      </c>
      <c r="G45" s="6" t="n">
        <v>2</v>
      </c>
      <c r="H45" s="6" t="n">
        <v>4</v>
      </c>
      <c r="I45" s="12" t="n">
        <v>1</v>
      </c>
      <c r="J45" s="13" t="inlineStr">
        <is>
          <t>被动</t>
        </is>
      </c>
      <c r="K45" s="13" t="inlineStr">
        <is>
          <t>被动：每当你施放一张战术牌，检索一张战术牌。每回合一次。</t>
        </is>
      </c>
      <c r="L45" s="13" t="inlineStr">
        <is>
          <t>passive:spellDiscoverOnce</t>
        </is>
      </c>
      <c r="M45" s="8" t="n">
        <v>4</v>
      </c>
      <c r="N45" s="8" t="n">
        <v>2</v>
      </c>
      <c r="O45" s="8" t="n">
        <v>4</v>
      </c>
      <c r="P45" s="14">
        <f>IF(OR(F45&lt;&gt;M45,IF(AND(G45="",N45=""),FALSE,G45&lt;&gt;N45),IF(AND(H45="",O45=""),FALSE,H45&lt;&gt;O45)),"已改","")</f>
        <v/>
      </c>
      <c r="Q45" s="14" t="inlineStr">
        <is>
          <t>可组</t>
        </is>
      </c>
      <c r="R45" s="13" t="n"/>
    </row>
    <row r="46" ht="28" customHeight="1">
      <c r="A46" s="12" t="inlineStr">
        <is>
          <t>echo_adept</t>
        </is>
      </c>
      <c r="B46" s="12" t="inlineStr">
        <is>
          <t>回响学徒</t>
        </is>
      </c>
      <c r="C46" s="12" t="inlineStr">
        <is>
          <t>学院</t>
        </is>
      </c>
      <c r="D46" s="12" t="inlineStr">
        <is>
          <t>随从</t>
        </is>
      </c>
      <c r="E46" s="12" t="inlineStr">
        <is>
          <t>史诗</t>
        </is>
      </c>
      <c r="F46" s="6" t="n">
        <v>4</v>
      </c>
      <c r="G46" s="6" t="n">
        <v>3</v>
      </c>
      <c r="H46" s="6" t="n">
        <v>2</v>
      </c>
      <c r="I46" s="12" t="n">
        <v>2</v>
      </c>
      <c r="J46" s="13" t="inlineStr">
        <is>
          <t>登场</t>
        </is>
      </c>
      <c r="K46" s="13" t="inlineStr">
        <is>
          <t>逆流 2：冻结目标所在阵位的所有敌方随从；每冻结一个随从，获得 +1/+1。</t>
        </is>
      </c>
      <c r="L46" s="13" t="inlineStr">
        <is>
          <t>battlecry:freezeZoneGrowth</t>
        </is>
      </c>
      <c r="M46" s="8" t="n">
        <v>4</v>
      </c>
      <c r="N46" s="8" t="n">
        <v>3</v>
      </c>
      <c r="O46" s="8" t="n">
        <v>2</v>
      </c>
      <c r="P46" s="14">
        <f>IF(OR(F46&lt;&gt;M46,IF(AND(G46="",N46=""),FALSE,G46&lt;&gt;N46),IF(AND(H46="",O46=""),FALSE,H46&lt;&gt;O46)),"已改","")</f>
        <v/>
      </c>
      <c r="Q46" s="14" t="inlineStr">
        <is>
          <t>可组</t>
        </is>
      </c>
      <c r="R46" s="13" t="n"/>
    </row>
    <row r="47" ht="28" customHeight="1">
      <c r="A47" s="12" t="inlineStr">
        <is>
          <t>echo_observer</t>
        </is>
      </c>
      <c r="B47" s="12" t="inlineStr">
        <is>
          <t>回响观测者</t>
        </is>
      </c>
      <c r="C47" s="12" t="inlineStr">
        <is>
          <t>学院</t>
        </is>
      </c>
      <c r="D47" s="12" t="inlineStr">
        <is>
          <t>随从</t>
        </is>
      </c>
      <c r="E47" s="12" t="inlineStr">
        <is>
          <t>史诗</t>
        </is>
      </c>
      <c r="F47" s="6" t="n">
        <v>4</v>
      </c>
      <c r="G47" s="6" t="n">
        <v>3</v>
      </c>
      <c r="H47" s="6" t="n">
        <v>4</v>
      </c>
      <c r="I47" s="12" t="n">
        <v>2</v>
      </c>
      <c r="J47" s="13" t="inlineStr">
        <is>
          <t>被动</t>
        </is>
      </c>
      <c r="K47" s="13" t="inlineStr">
        <is>
          <t>被动：每回合你第一次施放战术牌后，随机冻结一个敌方随从。</t>
        </is>
      </c>
      <c r="L47" s="13" t="inlineStr">
        <is>
          <t>passive:spellFreezeOnce</t>
        </is>
      </c>
      <c r="M47" s="8" t="n">
        <v>4</v>
      </c>
      <c r="N47" s="8" t="n">
        <v>3</v>
      </c>
      <c r="O47" s="8" t="n">
        <v>4</v>
      </c>
      <c r="P47" s="14">
        <f>IF(OR(F47&lt;&gt;M47,IF(AND(G47="",N47=""),FALSE,G47&lt;&gt;N47),IF(AND(H47="",O47=""),FALSE,H47&lt;&gt;O47)),"已改","")</f>
        <v/>
      </c>
      <c r="Q47" s="14" t="inlineStr">
        <is>
          <t>可组</t>
        </is>
      </c>
      <c r="R47" s="13" t="n"/>
    </row>
    <row r="48" ht="28" customHeight="1">
      <c r="A48" s="12" t="inlineStr">
        <is>
          <t>cassian</t>
        </is>
      </c>
      <c r="B48" s="12" t="inlineStr">
        <is>
          <t>卡西安·维尔</t>
        </is>
      </c>
      <c r="C48" s="12" t="inlineStr">
        <is>
          <t>学院</t>
        </is>
      </c>
      <c r="D48" s="12" t="inlineStr">
        <is>
          <t>随从</t>
        </is>
      </c>
      <c r="E48" s="12" t="inlineStr">
        <is>
          <t>传说</t>
        </is>
      </c>
      <c r="F48" s="6" t="n">
        <v>5</v>
      </c>
      <c r="G48" s="6" t="n">
        <v>2</v>
      </c>
      <c r="H48" s="6" t="n">
        <v>5</v>
      </c>
      <c r="I48" s="12" t="n">
        <v>1</v>
      </c>
      <c r="J48" s="13" t="inlineStr">
        <is>
          <t>被动</t>
        </is>
      </c>
      <c r="K48" s="13" t="inlineStr">
        <is>
          <t>被动：你的回合结束时，重复你最后使用的一张战术牌。</t>
        </is>
      </c>
      <c r="L48" s="13" t="inlineStr">
        <is>
          <t>passive:repeatLastSpell</t>
        </is>
      </c>
      <c r="M48" s="8" t="n">
        <v>5</v>
      </c>
      <c r="N48" s="8" t="n">
        <v>2</v>
      </c>
      <c r="O48" s="8" t="n">
        <v>5</v>
      </c>
      <c r="P48" s="14">
        <f>IF(OR(F48&lt;&gt;M48,IF(AND(G48="",N48=""),FALSE,G48&lt;&gt;N48),IF(AND(H48="",O48=""),FALSE,H48&lt;&gt;O48)),"已改","")</f>
        <v/>
      </c>
      <c r="Q48" s="14" t="inlineStr">
        <is>
          <t>可组</t>
        </is>
      </c>
      <c r="R48" s="13" t="n"/>
    </row>
    <row r="49" ht="28" customHeight="1">
      <c r="A49" s="12" t="inlineStr">
        <is>
          <t>frost_professor</t>
        </is>
      </c>
      <c r="B49" s="12" t="inlineStr">
        <is>
          <t>霜系教授</t>
        </is>
      </c>
      <c r="C49" s="12" t="inlineStr">
        <is>
          <t>学院</t>
        </is>
      </c>
      <c r="D49" s="12" t="inlineStr">
        <is>
          <t>随从</t>
        </is>
      </c>
      <c r="E49" s="12" t="inlineStr">
        <is>
          <t>史诗</t>
        </is>
      </c>
      <c r="F49" s="6" t="n">
        <v>5</v>
      </c>
      <c r="G49" s="6" t="n">
        <v>2</v>
      </c>
      <c r="H49" s="6" t="n">
        <v>5</v>
      </c>
      <c r="I49" s="12" t="n">
        <v>2</v>
      </c>
      <c r="J49" s="13" t="inlineStr">
        <is>
          <t>登场、被动</t>
        </is>
      </c>
      <c r="K49" s="13" t="inlineStr">
        <is>
          <t>被动：你攻击已被冻结的随从时，直接消灭该随从。逆流 3：冻结一个敌方随从。</t>
        </is>
      </c>
      <c r="L49" s="13" t="inlineStr">
        <is>
          <t>battlecry:freeze；passive:attackDestroyFrozen</t>
        </is>
      </c>
      <c r="M49" s="8" t="n">
        <v>5</v>
      </c>
      <c r="N49" s="8" t="n">
        <v>2</v>
      </c>
      <c r="O49" s="8" t="n">
        <v>5</v>
      </c>
      <c r="P49" s="14">
        <f>IF(OR(F49&lt;&gt;M49,IF(AND(G49="",N49=""),FALSE,G49&lt;&gt;N49),IF(AND(H49="",O49=""),FALSE,H49&lt;&gt;O49)),"已改","")</f>
        <v/>
      </c>
      <c r="Q49" s="14" t="inlineStr">
        <is>
          <t>可组</t>
        </is>
      </c>
      <c r="R49" s="13" t="n"/>
    </row>
    <row r="50" ht="28" customHeight="1">
      <c r="A50" s="12" t="inlineStr">
        <is>
          <t>archive_search</t>
        </is>
      </c>
      <c r="B50" s="12" t="inlineStr">
        <is>
          <t>档案检索</t>
        </is>
      </c>
      <c r="C50" s="12" t="inlineStr">
        <is>
          <t>学院</t>
        </is>
      </c>
      <c r="D50" s="12" t="inlineStr">
        <is>
          <t>战术</t>
        </is>
      </c>
      <c r="E50" s="12" t="inlineStr">
        <is>
          <t>普通</t>
        </is>
      </c>
      <c r="F50" s="6" t="n">
        <v>1</v>
      </c>
      <c r="G50" s="6" t="n"/>
      <c r="H50" s="6" t="n"/>
      <c r="I50" s="12" t="n">
        <v>2</v>
      </c>
      <c r="J50" s="13" t="n"/>
      <c r="K50" s="13" t="inlineStr">
        <is>
          <t>双方各抽 1 张牌。</t>
        </is>
      </c>
      <c r="L50" s="13" t="inlineStr">
        <is>
          <t>spell:drawBoth</t>
        </is>
      </c>
      <c r="M50" s="8" t="n">
        <v>1</v>
      </c>
      <c r="N50" s="8" t="n"/>
      <c r="O50" s="8" t="n"/>
      <c r="P50" s="14">
        <f>IF(OR(F50&lt;&gt;M50,IF(AND(G50="",N50=""),FALSE,G50&lt;&gt;N50),IF(AND(H50="",O50=""),FALSE,H50&lt;&gt;O50)),"已改","")</f>
        <v/>
      </c>
      <c r="Q50" s="14" t="inlineStr">
        <is>
          <t>可组</t>
        </is>
      </c>
      <c r="R50" s="13" t="n"/>
    </row>
    <row r="51" ht="28" customHeight="1">
      <c r="A51" s="12" t="inlineStr">
        <is>
          <t>debate</t>
        </is>
      </c>
      <c r="B51" s="12" t="inlineStr">
        <is>
          <t>学术辩论</t>
        </is>
      </c>
      <c r="C51" s="12" t="inlineStr">
        <is>
          <t>学院</t>
        </is>
      </c>
      <c r="D51" s="12" t="inlineStr">
        <is>
          <t>战术</t>
        </is>
      </c>
      <c r="E51" s="12" t="inlineStr">
        <is>
          <t>普通</t>
        </is>
      </c>
      <c r="F51" s="6" t="n">
        <v>1</v>
      </c>
      <c r="G51" s="6" t="n"/>
      <c r="H51" s="6" t="n"/>
      <c r="I51" s="12" t="n">
        <v>2</v>
      </c>
      <c r="J51" s="13" t="n"/>
      <c r="K51" s="13" t="inlineStr">
        <is>
          <t>对一个敌方随从造成 2 点伤害。</t>
        </is>
      </c>
      <c r="L51" s="13" t="inlineStr">
        <is>
          <t>spell:damage</t>
        </is>
      </c>
      <c r="M51" s="8" t="n">
        <v>1</v>
      </c>
      <c r="N51" s="8" t="n"/>
      <c r="O51" s="8" t="n"/>
      <c r="P51" s="14">
        <f>IF(OR(F51&lt;&gt;M51,IF(AND(G51="",N51=""),FALSE,G51&lt;&gt;N51),IF(AND(H51="",O51=""),FALSE,H51&lt;&gt;O51)),"已改","")</f>
        <v/>
      </c>
      <c r="Q51" s="14" t="inlineStr">
        <is>
          <t>可组</t>
        </is>
      </c>
      <c r="R51" s="13" t="n"/>
    </row>
    <row r="52" ht="28" customHeight="1">
      <c r="A52" s="12" t="inlineStr">
        <is>
          <t>mana_surge</t>
        </is>
      </c>
      <c r="B52" s="12" t="inlineStr">
        <is>
          <t>奥能涌动</t>
        </is>
      </c>
      <c r="C52" s="12" t="inlineStr">
        <is>
          <t>学院</t>
        </is>
      </c>
      <c r="D52" s="12" t="inlineStr">
        <is>
          <t>战术</t>
        </is>
      </c>
      <c r="E52" s="12" t="inlineStr">
        <is>
          <t>稀有</t>
        </is>
      </c>
      <c r="F52" s="6" t="n">
        <v>1</v>
      </c>
      <c r="G52" s="6" t="n"/>
      <c r="H52" s="6" t="n"/>
      <c r="I52" s="12" t="n">
        <v>2</v>
      </c>
      <c r="J52" s="13" t="n"/>
      <c r="K52" s="13" t="inlineStr">
        <is>
          <t>本回合获得 2 行动力。</t>
        </is>
      </c>
      <c r="L52" s="13" t="inlineStr">
        <is>
          <t>spell:rampSpell</t>
        </is>
      </c>
      <c r="M52" s="8" t="n">
        <v>1</v>
      </c>
      <c r="N52" s="8" t="n"/>
      <c r="O52" s="8" t="n"/>
      <c r="P52" s="14">
        <f>IF(OR(F52&lt;&gt;M52,IF(AND(G52="",N52=""),FALSE,G52&lt;&gt;N52),IF(AND(H52="",O52=""),FALSE,H52&lt;&gt;O52)),"已改","")</f>
        <v/>
      </c>
      <c r="Q52" s="14" t="inlineStr">
        <is>
          <t>可组</t>
        </is>
      </c>
      <c r="R52" s="13" t="n"/>
    </row>
    <row r="53" ht="28" customHeight="1">
      <c r="A53" s="12" t="inlineStr">
        <is>
          <t>frost_seal</t>
        </is>
      </c>
      <c r="B53" s="12" t="inlineStr">
        <is>
          <t>寒霜封印</t>
        </is>
      </c>
      <c r="C53" s="12" t="inlineStr">
        <is>
          <t>学院</t>
        </is>
      </c>
      <c r="D53" s="12" t="inlineStr">
        <is>
          <t>战术</t>
        </is>
      </c>
      <c r="E53" s="12" t="inlineStr">
        <is>
          <t>普通</t>
        </is>
      </c>
      <c r="F53" s="6" t="n">
        <v>2</v>
      </c>
      <c r="G53" s="6" t="n"/>
      <c r="H53" s="6" t="n"/>
      <c r="I53" s="12" t="n">
        <v>2</v>
      </c>
      <c r="J53" s="13" t="n"/>
      <c r="K53" s="13" t="inlineStr">
        <is>
          <t>冻结一个敌方随从；抽 1 张牌。</t>
        </is>
      </c>
      <c r="L53" s="13" t="inlineStr">
        <is>
          <t>spell:freezeDraw</t>
        </is>
      </c>
      <c r="M53" s="8" t="n">
        <v>2</v>
      </c>
      <c r="N53" s="8" t="n"/>
      <c r="O53" s="8" t="n"/>
      <c r="P53" s="14">
        <f>IF(OR(F53&lt;&gt;M53,IF(AND(G53="",N53=""),FALSE,G53&lt;&gt;N53),IF(AND(H53="",O53=""),FALSE,H53&lt;&gt;O53)),"已改","")</f>
        <v/>
      </c>
      <c r="Q53" s="14" t="inlineStr">
        <is>
          <t>可组</t>
        </is>
      </c>
      <c r="R53" s="13" t="n"/>
    </row>
    <row r="54" ht="28" customHeight="1">
      <c r="A54" s="12" t="inlineStr">
        <is>
          <t>insight</t>
        </is>
      </c>
      <c r="B54" s="12" t="inlineStr">
        <is>
          <t>洞察</t>
        </is>
      </c>
      <c r="C54" s="12" t="inlineStr">
        <is>
          <t>学院</t>
        </is>
      </c>
      <c r="D54" s="12" t="inlineStr">
        <is>
          <t>战术</t>
        </is>
      </c>
      <c r="E54" s="12" t="inlineStr">
        <is>
          <t>普通</t>
        </is>
      </c>
      <c r="F54" s="6" t="n">
        <v>2</v>
      </c>
      <c r="G54" s="6" t="n"/>
      <c r="H54" s="6" t="n"/>
      <c r="I54" s="12" t="n">
        <v>2</v>
      </c>
      <c r="J54" s="13" t="n"/>
      <c r="K54" s="13" t="inlineStr">
        <is>
          <t>采掘 1。</t>
        </is>
      </c>
      <c r="L54" s="13" t="inlineStr">
        <is>
          <t>spell:drawGainVein</t>
        </is>
      </c>
      <c r="M54" s="8" t="n">
        <v>2</v>
      </c>
      <c r="N54" s="8" t="n"/>
      <c r="O54" s="8" t="n"/>
      <c r="P54" s="14">
        <f>IF(OR(F54&lt;&gt;M54,IF(AND(G54="",N54=""),FALSE,G54&lt;&gt;N54),IF(AND(H54="",O54=""),FALSE,H54&lt;&gt;O54)),"已改","")</f>
        <v/>
      </c>
      <c r="Q54" s="14" t="inlineStr">
        <is>
          <t>可组</t>
        </is>
      </c>
      <c r="R54" s="13" t="n"/>
    </row>
    <row r="55" ht="28" customHeight="1">
      <c r="A55" s="12" t="inlineStr">
        <is>
          <t>borrow_vein</t>
        </is>
      </c>
      <c r="B55" s="12" t="inlineStr">
        <is>
          <t>借脉</t>
        </is>
      </c>
      <c r="C55" s="12" t="inlineStr">
        <is>
          <t>学院</t>
        </is>
      </c>
      <c r="D55" s="12" t="inlineStr">
        <is>
          <t>战术</t>
        </is>
      </c>
      <c r="E55" s="12" t="inlineStr">
        <is>
          <t>稀有</t>
        </is>
      </c>
      <c r="F55" s="6" t="n">
        <v>2</v>
      </c>
      <c r="G55" s="6" t="n"/>
      <c r="H55" s="6" t="n"/>
      <c r="I55" s="12" t="n">
        <v>2</v>
      </c>
      <c r="J55" s="13" t="n"/>
      <c r="K55" s="13" t="inlineStr">
        <is>
          <t>获得 1 行动力；下回合开始时再获得 1 行动力。</t>
        </is>
      </c>
      <c r="L55" s="13" t="inlineStr">
        <is>
          <t>spell:gainManaNowNext</t>
        </is>
      </c>
      <c r="M55" s="8" t="n">
        <v>2</v>
      </c>
      <c r="N55" s="8" t="n"/>
      <c r="O55" s="8" t="n"/>
      <c r="P55" s="14">
        <f>IF(OR(F55&lt;&gt;M55,IF(AND(G55="",N55=""),FALSE,G55&lt;&gt;N55),IF(AND(H55="",O55=""),FALSE,H55&lt;&gt;O55)),"已改","")</f>
        <v/>
      </c>
      <c r="Q55" s="14" t="inlineStr">
        <is>
          <t>可组</t>
        </is>
      </c>
      <c r="R55" s="13" t="n"/>
    </row>
    <row r="56" ht="28" customHeight="1">
      <c r="A56" s="12" t="inlineStr">
        <is>
          <t>armor_break</t>
        </is>
      </c>
      <c r="B56" s="12" t="inlineStr">
        <is>
          <t>破甲演算</t>
        </is>
      </c>
      <c r="C56" s="12" t="inlineStr">
        <is>
          <t>学院</t>
        </is>
      </c>
      <c r="D56" s="12" t="inlineStr">
        <is>
          <t>战术</t>
        </is>
      </c>
      <c r="E56" s="12" t="inlineStr">
        <is>
          <t>稀有</t>
        </is>
      </c>
      <c r="F56" s="6" t="n">
        <v>2</v>
      </c>
      <c r="G56" s="6" t="n"/>
      <c r="H56" s="6" t="n"/>
      <c r="I56" s="12" t="n">
        <v>2</v>
      </c>
      <c r="J56" s="13" t="n"/>
      <c r="K56" s="13" t="inlineStr">
        <is>
          <t>移除敌方领袖 4 点护甲。</t>
        </is>
      </c>
      <c r="L56" s="13" t="inlineStr">
        <is>
          <t>spell:stripArmorToMana</t>
        </is>
      </c>
      <c r="M56" s="8" t="n">
        <v>2</v>
      </c>
      <c r="N56" s="8" t="n"/>
      <c r="O56" s="8" t="n"/>
      <c r="P56" s="14">
        <f>IF(OR(F56&lt;&gt;M56,IF(AND(G56="",N56=""),FALSE,G56&lt;&gt;N56),IF(AND(H56="",O56=""),FALSE,H56&lt;&gt;O56)),"已改","")</f>
        <v/>
      </c>
      <c r="Q56" s="14" t="inlineStr">
        <is>
          <t>可组</t>
        </is>
      </c>
      <c r="R56" s="13" t="n"/>
    </row>
    <row r="57" ht="28" customHeight="1">
      <c r="A57" s="12" t="inlineStr">
        <is>
          <t>frost_scribe</t>
        </is>
      </c>
      <c r="B57" s="12" t="inlineStr">
        <is>
          <t>霜印书记</t>
        </is>
      </c>
      <c r="C57" s="12" t="inlineStr">
        <is>
          <t>学院</t>
        </is>
      </c>
      <c r="D57" s="12" t="inlineStr">
        <is>
          <t>战术</t>
        </is>
      </c>
      <c r="E57" s="12" t="inlineStr">
        <is>
          <t>稀有</t>
        </is>
      </c>
      <c r="F57" s="6" t="n">
        <v>2</v>
      </c>
      <c r="G57" s="6" t="n"/>
      <c r="H57" s="6" t="n"/>
      <c r="I57" s="12" t="n">
        <v>2</v>
      </c>
      <c r="J57" s="13" t="n"/>
      <c r="K57" s="13" t="inlineStr">
        <is>
          <t>逆流 1：冻结一个敌方随从并抽 1 张牌。</t>
        </is>
      </c>
      <c r="L57" s="13" t="inlineStr">
        <is>
          <t>spell:freezeDraw</t>
        </is>
      </c>
      <c r="M57" s="8" t="n">
        <v>2</v>
      </c>
      <c r="N57" s="8" t="n"/>
      <c r="O57" s="8" t="n"/>
      <c r="P57" s="14">
        <f>IF(OR(F57&lt;&gt;M57,IF(AND(G57="",N57=""),FALSE,G57&lt;&gt;N57),IF(AND(H57="",O57=""),FALSE,H57&lt;&gt;O57)),"已改","")</f>
        <v/>
      </c>
      <c r="Q57" s="14" t="inlineStr">
        <is>
          <t>可组</t>
        </is>
      </c>
      <c r="R57" s="13" t="n"/>
    </row>
    <row r="58" ht="28" customHeight="1">
      <c r="A58" s="12" t="inlineStr">
        <is>
          <t>prohibition</t>
        </is>
      </c>
      <c r="B58" s="12" t="inlineStr">
        <is>
          <t>禁制令</t>
        </is>
      </c>
      <c r="C58" s="12" t="inlineStr">
        <is>
          <t>学院</t>
        </is>
      </c>
      <c r="D58" s="12" t="inlineStr">
        <is>
          <t>战术</t>
        </is>
      </c>
      <c r="E58" s="12" t="inlineStr">
        <is>
          <t>普通</t>
        </is>
      </c>
      <c r="F58" s="6" t="n">
        <v>3</v>
      </c>
      <c r="G58" s="6" t="n"/>
      <c r="H58" s="6" t="n"/>
      <c r="I58" s="12" t="n">
        <v>2</v>
      </c>
      <c r="J58" s="13" t="n"/>
      <c r="K58" s="13" t="inlineStr">
        <is>
          <t>冻结所有敌方随从。</t>
        </is>
      </c>
      <c r="L58" s="13" t="inlineStr">
        <is>
          <t>spell:freezeAll</t>
        </is>
      </c>
      <c r="M58" s="8" t="n">
        <v>3</v>
      </c>
      <c r="N58" s="8" t="n"/>
      <c r="O58" s="8" t="n"/>
      <c r="P58" s="14">
        <f>IF(OR(F58&lt;&gt;M58,IF(AND(G58="",N58=""),FALSE,G58&lt;&gt;N58),IF(AND(H58="",O58=""),FALSE,H58&lt;&gt;O58)),"已改","")</f>
        <v/>
      </c>
      <c r="Q58" s="14" t="inlineStr">
        <is>
          <t>可组</t>
        </is>
      </c>
      <c r="R58" s="13" t="n"/>
    </row>
    <row r="59" ht="28" customHeight="1">
      <c r="A59" s="12" t="inlineStr">
        <is>
          <t>combo_spark</t>
        </is>
      </c>
      <c r="B59" s="12" t="inlineStr">
        <is>
          <t>顺势火花</t>
        </is>
      </c>
      <c r="C59" s="12" t="inlineStr">
        <is>
          <t>学院</t>
        </is>
      </c>
      <c r="D59" s="12" t="inlineStr">
        <is>
          <t>战术</t>
        </is>
      </c>
      <c r="E59" s="12" t="inlineStr">
        <is>
          <t>稀有</t>
        </is>
      </c>
      <c r="F59" s="6" t="n">
        <v>3</v>
      </c>
      <c r="G59" s="6" t="n"/>
      <c r="H59" s="6" t="n"/>
      <c r="I59" s="12" t="n">
        <v>2</v>
      </c>
      <c r="J59" s="13" t="n"/>
      <c r="K59" s="13" t="inlineStr">
        <is>
          <t>对目标所在阵位的所有敌方随从造成 3 点伤害。</t>
        </is>
      </c>
      <c r="L59" s="13" t="inlineStr">
        <is>
          <t>spell:damageZone</t>
        </is>
      </c>
      <c r="M59" s="8" t="n">
        <v>3</v>
      </c>
      <c r="N59" s="8" t="n"/>
      <c r="O59" s="8" t="n"/>
      <c r="P59" s="14">
        <f>IF(OR(F59&lt;&gt;M59,IF(AND(G59="",N59=""),FALSE,G59&lt;&gt;N59),IF(AND(H59="",O59=""),FALSE,H59&lt;&gt;O59)),"已改","")</f>
        <v/>
      </c>
      <c r="Q59" s="14" t="inlineStr">
        <is>
          <t>可组</t>
        </is>
      </c>
      <c r="R59" s="13" t="n"/>
    </row>
    <row r="60" ht="28" customHeight="1">
      <c r="A60" s="12" t="inlineStr">
        <is>
          <t>double_formula</t>
        </is>
      </c>
      <c r="B60" s="12" t="inlineStr">
        <is>
          <t>双重公式</t>
        </is>
      </c>
      <c r="C60" s="12" t="inlineStr">
        <is>
          <t>学院</t>
        </is>
      </c>
      <c r="D60" s="12" t="inlineStr">
        <is>
          <t>战术</t>
        </is>
      </c>
      <c r="E60" s="12" t="inlineStr">
        <is>
          <t>史诗</t>
        </is>
      </c>
      <c r="F60" s="6" t="n">
        <v>3</v>
      </c>
      <c r="G60" s="6" t="n"/>
      <c r="H60" s="6" t="n"/>
      <c r="I60" s="12" t="n">
        <v>2</v>
      </c>
      <c r="J60" s="13" t="n"/>
      <c r="K60" s="13" t="inlineStr">
        <is>
          <t>随机对一个敌方单位造成 2 点伤害；若本回合此前已施放过战术牌，改为 5 点。</t>
        </is>
      </c>
      <c r="L60" s="13" t="inlineStr">
        <is>
          <t>spell:randomDamageUpgrade</t>
        </is>
      </c>
      <c r="M60" s="8" t="n">
        <v>3</v>
      </c>
      <c r="N60" s="8" t="n"/>
      <c r="O60" s="8" t="n"/>
      <c r="P60" s="14">
        <f>IF(OR(F60&lt;&gt;M60,IF(AND(G60="",N60=""),FALSE,G60&lt;&gt;N60),IF(AND(H60="",O60=""),FALSE,H60&lt;&gt;O60)),"已改","")</f>
        <v/>
      </c>
      <c r="Q60" s="14" t="inlineStr">
        <is>
          <t>可组</t>
        </is>
      </c>
      <c r="R60" s="13" t="n"/>
    </row>
    <row r="61" ht="28" customHeight="1">
      <c r="A61" s="12" t="inlineStr">
        <is>
          <t>tactical_review</t>
        </is>
      </c>
      <c r="B61" s="12" t="inlineStr">
        <is>
          <t>战术复盘</t>
        </is>
      </c>
      <c r="C61" s="12" t="inlineStr">
        <is>
          <t>学院</t>
        </is>
      </c>
      <c r="D61" s="12" t="inlineStr">
        <is>
          <t>战术</t>
        </is>
      </c>
      <c r="E61" s="12" t="inlineStr">
        <is>
          <t>普通</t>
        </is>
      </c>
      <c r="F61" s="6" t="n">
        <v>3</v>
      </c>
      <c r="G61" s="6" t="n"/>
      <c r="H61" s="6" t="n"/>
      <c r="I61" s="12" t="n">
        <v>2</v>
      </c>
      <c r="J61" s="13" t="n"/>
      <c r="K61" s="13" t="inlineStr">
        <is>
          <t>抽 2 张牌。</t>
        </is>
      </c>
      <c r="L61" s="13" t="inlineStr">
        <is>
          <t>spell:draw</t>
        </is>
      </c>
      <c r="M61" s="8" t="n">
        <v>3</v>
      </c>
      <c r="N61" s="8" t="n"/>
      <c r="O61" s="8" t="n"/>
      <c r="P61" s="14">
        <f>IF(OR(F61&lt;&gt;M61,IF(AND(G61="",N61=""),FALSE,G61&lt;&gt;N61),IF(AND(H61="",O61=""),FALSE,H61&lt;&gt;O61)),"已改","")</f>
        <v/>
      </c>
      <c r="Q61" s="14" t="inlineStr">
        <is>
          <t>可组</t>
        </is>
      </c>
      <c r="R61" s="13" t="n"/>
    </row>
    <row r="62" ht="28" customHeight="1">
      <c r="A62" s="12" t="inlineStr">
        <is>
          <t>arcane_surge</t>
        </is>
      </c>
      <c r="B62" s="12" t="inlineStr">
        <is>
          <t>奥术涌流</t>
        </is>
      </c>
      <c r="C62" s="12" t="inlineStr">
        <is>
          <t>学院</t>
        </is>
      </c>
      <c r="D62" s="12" t="inlineStr">
        <is>
          <t>战术</t>
        </is>
      </c>
      <c r="E62" s="12" t="inlineStr">
        <is>
          <t>史诗</t>
        </is>
      </c>
      <c r="F62" s="6" t="n">
        <v>4</v>
      </c>
      <c r="G62" s="6" t="n"/>
      <c r="H62" s="6" t="n"/>
      <c r="I62" s="12" t="n">
        <v>2</v>
      </c>
      <c r="J62" s="13" t="n"/>
      <c r="K62" s="13" t="inlineStr">
        <is>
          <t>对所有敌方随从造成 1 点伤害；本回合你每施放过一张战术牌，伤害 +1。</t>
        </is>
      </c>
      <c r="L62" s="13" t="inlineStr">
        <is>
          <t>spell:damageAllPerSpell</t>
        </is>
      </c>
      <c r="M62" s="8" t="n">
        <v>4</v>
      </c>
      <c r="N62" s="8" t="n"/>
      <c r="O62" s="8" t="n"/>
      <c r="P62" s="14">
        <f>IF(OR(F62&lt;&gt;M62,IF(AND(G62="",N62=""),FALSE,G62&lt;&gt;N62),IF(AND(H62="",O62=""),FALSE,H62&lt;&gt;O62)),"已改","")</f>
        <v/>
      </c>
      <c r="Q62" s="14" t="inlineStr">
        <is>
          <t>可组</t>
        </is>
      </c>
      <c r="R62" s="13" t="n"/>
    </row>
    <row r="63" ht="28" customHeight="1">
      <c r="A63" s="12" t="inlineStr">
        <is>
          <t>formula_fix</t>
        </is>
      </c>
      <c r="B63" s="12" t="inlineStr">
        <is>
          <t>公式修正</t>
        </is>
      </c>
      <c r="C63" s="12" t="inlineStr">
        <is>
          <t>学院</t>
        </is>
      </c>
      <c r="D63" s="12" t="inlineStr">
        <is>
          <t>战术</t>
        </is>
      </c>
      <c r="E63" s="12" t="inlineStr">
        <is>
          <t>稀有</t>
        </is>
      </c>
      <c r="F63" s="6" t="n">
        <v>4</v>
      </c>
      <c r="G63" s="6" t="n"/>
      <c r="H63" s="6" t="n"/>
      <c r="I63" s="12" t="n">
        <v>2</v>
      </c>
      <c r="J63" s="13" t="n"/>
      <c r="K63" s="13" t="inlineStr">
        <is>
          <t>对一个敌方随从造成等同于场上所有随从数量的伤害。</t>
        </is>
      </c>
      <c r="L63" s="13" t="inlineStr">
        <is>
          <t>spell:damagePerMinionCount</t>
        </is>
      </c>
      <c r="M63" s="8" t="n">
        <v>4</v>
      </c>
      <c r="N63" s="8" t="n"/>
      <c r="O63" s="8" t="n"/>
      <c r="P63" s="14">
        <f>IF(OR(F63&lt;&gt;M63,IF(AND(G63="",N63=""),FALSE,G63&lt;&gt;N63),IF(AND(H63="",O63=""),FALSE,H63&lt;&gt;O63)),"已改","")</f>
        <v/>
      </c>
      <c r="Q63" s="14" t="inlineStr">
        <is>
          <t>可组</t>
        </is>
      </c>
      <c r="R63" s="13" t="n"/>
    </row>
    <row r="64" ht="28" customHeight="1">
      <c r="A64" s="12" t="inlineStr">
        <is>
          <t>spellstorm</t>
        </is>
      </c>
      <c r="B64" s="12" t="inlineStr">
        <is>
          <t>法术风暴</t>
        </is>
      </c>
      <c r="C64" s="12" t="inlineStr">
        <is>
          <t>学院</t>
        </is>
      </c>
      <c r="D64" s="12" t="inlineStr">
        <is>
          <t>战术</t>
        </is>
      </c>
      <c r="E64" s="12" t="inlineStr">
        <is>
          <t>传说</t>
        </is>
      </c>
      <c r="F64" s="6" t="n">
        <v>8</v>
      </c>
      <c r="G64" s="6" t="n"/>
      <c r="H64" s="6" t="n"/>
      <c r="I64" s="12" t="n">
        <v>1</v>
      </c>
      <c r="J64" s="13" t="n"/>
      <c r="K64" s="13" t="inlineStr">
        <is>
          <t>对所有敌方单位造成等同于本局已使用的战术牌数量的伤害（最高 10 点）。</t>
        </is>
      </c>
      <c r="L64" s="13" t="inlineStr">
        <is>
          <t>spell:damageAllEnemyUnitsPerGameSpell</t>
        </is>
      </c>
      <c r="M64" s="8" t="n">
        <v>8</v>
      </c>
      <c r="N64" s="8" t="n"/>
      <c r="O64" s="8" t="n"/>
      <c r="P64" s="14">
        <f>IF(OR(F64&lt;&gt;M64,IF(AND(G64="",N64=""),FALSE,G64&lt;&gt;N64),IF(AND(H64="",O64=""),FALSE,H64&lt;&gt;O64)),"已改","")</f>
        <v/>
      </c>
      <c r="Q64" s="14" t="inlineStr">
        <is>
          <t>可组</t>
        </is>
      </c>
      <c r="R64" s="13" t="n"/>
    </row>
    <row r="65" ht="28" customHeight="1">
      <c r="A65" s="12" t="inlineStr">
        <is>
          <t>formation_script</t>
        </is>
      </c>
      <c r="B65" s="12" t="inlineStr">
        <is>
          <t>演算阵线</t>
        </is>
      </c>
      <c r="C65" s="12" t="inlineStr">
        <is>
          <t>学院</t>
        </is>
      </c>
      <c r="D65" s="12" t="inlineStr">
        <is>
          <t>阵型</t>
        </is>
      </c>
      <c r="E65" s="12" t="inlineStr">
        <is>
          <t>稀有</t>
        </is>
      </c>
      <c r="F65" s="6" t="n">
        <v>4</v>
      </c>
      <c r="G65" s="6" t="n"/>
      <c r="H65" s="6" t="n"/>
      <c r="I65" s="12" t="n">
        <v>2</v>
      </c>
      <c r="J65" s="13" t="n"/>
      <c r="K65" s="13" t="inlineStr">
        <is>
          <t>该阵位友方随从固定获得袭扰。</t>
        </is>
      </c>
      <c r="L65" s="13" t="n"/>
      <c r="M65" s="8" t="n">
        <v>4</v>
      </c>
      <c r="N65" s="8" t="n"/>
      <c r="O65" s="8" t="n"/>
      <c r="P65" s="14">
        <f>IF(OR(F65&lt;&gt;M65,IF(AND(G65="",N65=""),FALSE,G65&lt;&gt;N65),IF(AND(H65="",O65=""),FALSE,H65&lt;&gt;O65)),"已改","")</f>
        <v/>
      </c>
      <c r="Q65" s="14" t="inlineStr">
        <is>
          <t>可组</t>
        </is>
      </c>
      <c r="R65" s="13" t="n"/>
    </row>
    <row r="66" ht="28" customHeight="1">
      <c r="A66" s="12" t="inlineStr">
        <is>
          <t>spell_codex</t>
        </is>
      </c>
      <c r="B66" s="12" t="inlineStr">
        <is>
          <t>留存法典</t>
        </is>
      </c>
      <c r="C66" s="12" t="inlineStr">
        <is>
          <t>学院</t>
        </is>
      </c>
      <c r="D66" s="12" t="inlineStr">
        <is>
          <t>遗物</t>
        </is>
      </c>
      <c r="E66" s="12" t="inlineStr">
        <is>
          <t>史诗</t>
        </is>
      </c>
      <c r="F66" s="6" t="n">
        <v>3</v>
      </c>
      <c r="G66" s="6" t="n"/>
      <c r="H66" s="6" t="n"/>
      <c r="I66" s="12" t="n">
        <v>1</v>
      </c>
      <c r="J66" s="13" t="n"/>
      <c r="K66" s="13" t="inlineStr">
        <is>
          <t>遗物：你的领袖技能被替换为「编目」：随机使一张手牌中的战术牌行动力消耗 -1。</t>
        </is>
      </c>
      <c r="L66" s="13" t="n"/>
      <c r="M66" s="8" t="n">
        <v>3</v>
      </c>
      <c r="N66" s="8" t="n"/>
      <c r="O66" s="8" t="n"/>
      <c r="P66" s="14">
        <f>IF(OR(F66&lt;&gt;M66,IF(AND(G66="",N66=""),FALSE,G66&lt;&gt;N66),IF(AND(H66="",O66=""),FALSE,H66&lt;&gt;O66)),"已改","")</f>
        <v/>
      </c>
      <c r="Q66" s="15" t="inlineStr">
        <is>
          <t>遗物</t>
        </is>
      </c>
      <c r="R66" s="13" t="n"/>
    </row>
    <row r="67" ht="28" customHeight="1">
      <c r="A67" s="12" t="inlineStr">
        <is>
          <t>frost_prism</t>
        </is>
      </c>
      <c r="B67" s="12" t="inlineStr">
        <is>
          <t>霜晶棱镜</t>
        </is>
      </c>
      <c r="C67" s="12" t="inlineStr">
        <is>
          <t>学院</t>
        </is>
      </c>
      <c r="D67" s="12" t="inlineStr">
        <is>
          <t>遗物</t>
        </is>
      </c>
      <c r="E67" s="12" t="inlineStr">
        <is>
          <t>史诗</t>
        </is>
      </c>
      <c r="F67" s="6" t="n">
        <v>3</v>
      </c>
      <c r="G67" s="6" t="n"/>
      <c r="H67" s="6" t="n"/>
      <c r="I67" s="12" t="n">
        <v>1</v>
      </c>
      <c r="J67" s="13" t="n"/>
      <c r="K67" s="13" t="inlineStr">
        <is>
          <t>遗物：每当你施放战术牌，恢复你的领袖 1 点生命。</t>
        </is>
      </c>
      <c r="L67" s="13" t="n"/>
      <c r="M67" s="8" t="n">
        <v>3</v>
      </c>
      <c r="N67" s="8" t="n"/>
      <c r="O67" s="8" t="n"/>
      <c r="P67" s="14">
        <f>IF(OR(F67&lt;&gt;M67,IF(AND(G67="",N67=""),FALSE,G67&lt;&gt;N67),IF(AND(H67="",O67=""),FALSE,H67&lt;&gt;O67)),"已改","")</f>
        <v/>
      </c>
      <c r="Q67" s="15" t="inlineStr">
        <is>
          <t>遗物</t>
        </is>
      </c>
      <c r="R67" s="13" t="n"/>
    </row>
    <row r="68" ht="28" customHeight="1">
      <c r="A68" s="17" t="inlineStr">
        <is>
          <t>lanzhou</t>
        </is>
      </c>
      <c r="B68" s="17" t="inlineStr">
        <is>
          <t>澜舟</t>
        </is>
      </c>
      <c r="C68" s="17" t="inlineStr">
        <is>
          <t>西昭</t>
        </is>
      </c>
      <c r="D68" s="17" t="inlineStr">
        <is>
          <t>随从</t>
        </is>
      </c>
      <c r="E68" s="17" t="inlineStr">
        <is>
          <t>传说</t>
        </is>
      </c>
      <c r="F68" s="6" t="n">
        <v>1</v>
      </c>
      <c r="G68" s="6" t="n">
        <v>1</v>
      </c>
      <c r="H68" s="6" t="n">
        <v>2</v>
      </c>
      <c r="I68" s="17" t="n">
        <v>1</v>
      </c>
      <c r="J68" s="18" t="inlineStr">
        <is>
          <t>登场、隐匿</t>
        </is>
      </c>
      <c r="K68" s="18" t="inlineStr">
        <is>
          <t>隐匿。登场：召唤一个 1/1 洛斯汰魔物。</t>
        </is>
      </c>
      <c r="L68" s="18" t="inlineStr">
        <is>
          <t>battlecry:summon</t>
        </is>
      </c>
      <c r="M68" s="8" t="n">
        <v>1</v>
      </c>
      <c r="N68" s="8" t="n">
        <v>1</v>
      </c>
      <c r="O68" s="8" t="n">
        <v>2</v>
      </c>
      <c r="P68" s="19">
        <f>IF(OR(F68&lt;&gt;M68,IF(AND(G68="",N68=""),FALSE,G68&lt;&gt;N68),IF(AND(H68="",O68=""),FALSE,H68&lt;&gt;O68)),"已改","")</f>
        <v/>
      </c>
      <c r="Q68" s="19" t="inlineStr">
        <is>
          <t>可组</t>
        </is>
      </c>
      <c r="R68" s="18" t="n"/>
    </row>
    <row r="69" ht="28" customHeight="1">
      <c r="A69" s="17" t="inlineStr">
        <is>
          <t>tribal_warrior</t>
        </is>
      </c>
      <c r="B69" s="17" t="inlineStr">
        <is>
          <t>部落战士</t>
        </is>
      </c>
      <c r="C69" s="17" t="inlineStr">
        <is>
          <t>西昭</t>
        </is>
      </c>
      <c r="D69" s="17" t="inlineStr">
        <is>
          <t>随从</t>
        </is>
      </c>
      <c r="E69" s="17" t="inlineStr">
        <is>
          <t>普通</t>
        </is>
      </c>
      <c r="F69" s="6" t="n">
        <v>1</v>
      </c>
      <c r="G69" s="6" t="n">
        <v>1</v>
      </c>
      <c r="H69" s="6" t="n">
        <v>2</v>
      </c>
      <c r="I69" s="17" t="n">
        <v>2</v>
      </c>
      <c r="J69" s="18" t="inlineStr">
        <is>
          <t>登场</t>
        </is>
      </c>
      <c r="K69" s="18" t="inlineStr">
        <is>
          <t>血祭 3：获得 +1/+1。</t>
        </is>
      </c>
      <c r="L69" s="18" t="inlineStr">
        <is>
          <t>battlecry:bloodBuff</t>
        </is>
      </c>
      <c r="M69" s="8" t="n">
        <v>1</v>
      </c>
      <c r="N69" s="8" t="n">
        <v>1</v>
      </c>
      <c r="O69" s="8" t="n">
        <v>2</v>
      </c>
      <c r="P69" s="19">
        <f>IF(OR(F69&lt;&gt;M69,IF(AND(G69="",N69=""),FALSE,G69&lt;&gt;N69),IF(AND(H69="",O69=""),FALSE,H69&lt;&gt;O69)),"已改","")</f>
        <v/>
      </c>
      <c r="Q69" s="19" t="inlineStr">
        <is>
          <t>可组</t>
        </is>
      </c>
      <c r="R69" s="18" t="n"/>
    </row>
    <row r="70" ht="28" customHeight="1">
      <c r="A70" s="17" t="inlineStr">
        <is>
          <t>lize</t>
        </is>
      </c>
      <c r="B70" s="17" t="inlineStr">
        <is>
          <t>莉泽</t>
        </is>
      </c>
      <c r="C70" s="17" t="inlineStr">
        <is>
          <t>西昭</t>
        </is>
      </c>
      <c r="D70" s="17" t="inlineStr">
        <is>
          <t>随从</t>
        </is>
      </c>
      <c r="E70" s="17" t="inlineStr">
        <is>
          <t>传说</t>
        </is>
      </c>
      <c r="F70" s="6" t="n">
        <v>2</v>
      </c>
      <c r="G70" s="6" t="n">
        <v>2</v>
      </c>
      <c r="H70" s="6" t="n">
        <v>2</v>
      </c>
      <c r="I70" s="17" t="n">
        <v>1</v>
      </c>
      <c r="J70" s="18" t="n"/>
      <c r="K70" s="18" t="inlineStr">
        <is>
          <t>压脉 2：消耗 2 点流脉，对敌方领袖造成 2 点伤害。</t>
        </is>
      </c>
      <c r="L70" s="18" t="n"/>
      <c r="M70" s="8" t="n">
        <v>2</v>
      </c>
      <c r="N70" s="8" t="n">
        <v>2</v>
      </c>
      <c r="O70" s="8" t="n">
        <v>2</v>
      </c>
      <c r="P70" s="19">
        <f>IF(OR(F70&lt;&gt;M70,IF(AND(G70="",N70=""),FALSE,G70&lt;&gt;N70),IF(AND(H70="",O70=""),FALSE,H70&lt;&gt;O70)),"已改","")</f>
        <v/>
      </c>
      <c r="Q70" s="19" t="inlineStr">
        <is>
          <t>可组</t>
        </is>
      </c>
      <c r="R70" s="18" t="n"/>
    </row>
    <row r="71" ht="28" customHeight="1">
      <c r="A71" s="17" t="inlineStr">
        <is>
          <t>blood_imp</t>
        </is>
      </c>
      <c r="B71" s="17" t="inlineStr">
        <is>
          <t>血潮小鬼</t>
        </is>
      </c>
      <c r="C71" s="17" t="inlineStr">
        <is>
          <t>西昭</t>
        </is>
      </c>
      <c r="D71" s="17" t="inlineStr">
        <is>
          <t>随从</t>
        </is>
      </c>
      <c r="E71" s="17" t="inlineStr">
        <is>
          <t>普通</t>
        </is>
      </c>
      <c r="F71" s="6" t="n">
        <v>2</v>
      </c>
      <c r="G71" s="6" t="n">
        <v>2</v>
      </c>
      <c r="H71" s="6" t="n">
        <v>2</v>
      </c>
      <c r="I71" s="17" t="n">
        <v>2</v>
      </c>
      <c r="J71" s="18" t="inlineStr">
        <is>
          <t>汲取</t>
        </is>
      </c>
      <c r="K71" s="18" t="inlineStr">
        <is>
          <t>汲取。</t>
        </is>
      </c>
      <c r="L71" s="18" t="n"/>
      <c r="M71" s="8" t="n">
        <v>2</v>
      </c>
      <c r="N71" s="8" t="n">
        <v>2</v>
      </c>
      <c r="O71" s="8" t="n">
        <v>2</v>
      </c>
      <c r="P71" s="19">
        <f>IF(OR(F71&lt;&gt;M71,IF(AND(G71="",N71=""),FALSE,G71&lt;&gt;N71),IF(AND(H71="",O71=""),FALSE,H71&lt;&gt;O71)),"已改","")</f>
        <v/>
      </c>
      <c r="Q71" s="19" t="inlineStr">
        <is>
          <t>可组</t>
        </is>
      </c>
      <c r="R71" s="18" t="n"/>
    </row>
    <row r="72" ht="28" customHeight="1">
      <c r="A72" s="17" t="inlineStr">
        <is>
          <t>blood_acolyte</t>
        </is>
      </c>
      <c r="B72" s="17" t="inlineStr">
        <is>
          <t>血祭侍从</t>
        </is>
      </c>
      <c r="C72" s="17" t="inlineStr">
        <is>
          <t>西昭</t>
        </is>
      </c>
      <c r="D72" s="17" t="inlineStr">
        <is>
          <t>随从</t>
        </is>
      </c>
      <c r="E72" s="17" t="inlineStr">
        <is>
          <t>稀有</t>
        </is>
      </c>
      <c r="F72" s="6" t="n">
        <v>2</v>
      </c>
      <c r="G72" s="6" t="n">
        <v>1</v>
      </c>
      <c r="H72" s="6" t="n">
        <v>2</v>
      </c>
      <c r="I72" s="17" t="n">
        <v>2</v>
      </c>
      <c r="J72" s="18" t="inlineStr">
        <is>
          <t>登场</t>
        </is>
      </c>
      <c r="K72" s="18" t="inlineStr">
        <is>
          <t>血祭 2：对所有敌方随从造成 1 点伤害。</t>
        </is>
      </c>
      <c r="L72" s="18" t="inlineStr">
        <is>
          <t>battlecry:bloodDamageAllEnemies</t>
        </is>
      </c>
      <c r="M72" s="8" t="n">
        <v>2</v>
      </c>
      <c r="N72" s="8" t="n">
        <v>1</v>
      </c>
      <c r="O72" s="8" t="n">
        <v>2</v>
      </c>
      <c r="P72" s="19">
        <f>IF(OR(F72&lt;&gt;M72,IF(AND(G72="",N72=""),FALSE,G72&lt;&gt;N72),IF(AND(H72="",O72=""),FALSE,H72&lt;&gt;O72)),"已改","")</f>
        <v/>
      </c>
      <c r="Q72" s="19" t="inlineStr">
        <is>
          <t>可组</t>
        </is>
      </c>
      <c r="R72" s="18" t="n"/>
    </row>
    <row r="73" ht="28" customHeight="1">
      <c r="A73" s="17" t="inlineStr">
        <is>
          <t>blood_duelist</t>
        </is>
      </c>
      <c r="B73" s="17" t="inlineStr">
        <is>
          <t>血祭刀客</t>
        </is>
      </c>
      <c r="C73" s="17" t="inlineStr">
        <is>
          <t>西昭</t>
        </is>
      </c>
      <c r="D73" s="17" t="inlineStr">
        <is>
          <t>随从</t>
        </is>
      </c>
      <c r="E73" s="17" t="inlineStr">
        <is>
          <t>普通</t>
        </is>
      </c>
      <c r="F73" s="6" t="n">
        <v>2</v>
      </c>
      <c r="G73" s="6" t="n">
        <v>1</v>
      </c>
      <c r="H73" s="6" t="n">
        <v>2</v>
      </c>
      <c r="I73" s="17" t="n">
        <v>2</v>
      </c>
      <c r="J73" s="18" t="inlineStr">
        <is>
          <t>突进、登场</t>
        </is>
      </c>
      <c r="K73" s="18" t="inlineStr">
        <is>
          <t>突进。血祭 5：获得 +2 攻击。</t>
        </is>
      </c>
      <c r="L73" s="18" t="inlineStr">
        <is>
          <t>battlecry:bloodAttack</t>
        </is>
      </c>
      <c r="M73" s="8" t="n">
        <v>2</v>
      </c>
      <c r="N73" s="8" t="n">
        <v>1</v>
      </c>
      <c r="O73" s="8" t="n">
        <v>2</v>
      </c>
      <c r="P73" s="19">
        <f>IF(OR(F73&lt;&gt;M73,IF(AND(G73="",N73=""),FALSE,G73&lt;&gt;N73),IF(AND(H73="",O73=""),FALSE,H73&lt;&gt;O73)),"已改","")</f>
        <v/>
      </c>
      <c r="Q73" s="19" t="inlineStr">
        <is>
          <t>可组</t>
        </is>
      </c>
      <c r="R73" s="18" t="n"/>
    </row>
    <row r="74" ht="28" customHeight="1">
      <c r="A74" s="17" t="inlineStr">
        <is>
          <t>molan</t>
        </is>
      </c>
      <c r="B74" s="17" t="inlineStr">
        <is>
          <t>墨兰</t>
        </is>
      </c>
      <c r="C74" s="17" t="inlineStr">
        <is>
          <t>西昭</t>
        </is>
      </c>
      <c r="D74" s="17" t="inlineStr">
        <is>
          <t>随从</t>
        </is>
      </c>
      <c r="E74" s="17" t="inlineStr">
        <is>
          <t>传说</t>
        </is>
      </c>
      <c r="F74" s="6" t="n">
        <v>3</v>
      </c>
      <c r="G74" s="6" t="n">
        <v>1</v>
      </c>
      <c r="H74" s="6" t="n">
        <v>4</v>
      </c>
      <c r="I74" s="17" t="n">
        <v>1</v>
      </c>
      <c r="J74" s="18" t="inlineStr">
        <is>
          <t>登场</t>
        </is>
      </c>
      <c r="K74" s="18" t="inlineStr">
        <is>
          <t>登场：检索一张随从牌；血祭 3：获得 +2 攻击。</t>
        </is>
      </c>
      <c r="L74" s="18" t="inlineStr">
        <is>
          <t>battlecry:discoverMinionBloodBuff</t>
        </is>
      </c>
      <c r="M74" s="8" t="n">
        <v>3</v>
      </c>
      <c r="N74" s="8" t="n">
        <v>1</v>
      </c>
      <c r="O74" s="8" t="n">
        <v>4</v>
      </c>
      <c r="P74" s="19">
        <f>IF(OR(F74&lt;&gt;M74,IF(AND(G74="",N74=""),FALSE,G74&lt;&gt;N74),IF(AND(H74="",O74=""),FALSE,H74&lt;&gt;O74)),"已改","")</f>
        <v/>
      </c>
      <c r="Q74" s="19" t="inlineStr">
        <is>
          <t>可组</t>
        </is>
      </c>
      <c r="R74" s="18" t="n"/>
    </row>
    <row r="75" ht="28" customHeight="1">
      <c r="A75" s="17" t="inlineStr">
        <is>
          <t>blood_servant</t>
        </is>
      </c>
      <c r="B75" s="17" t="inlineStr">
        <is>
          <t>血族仆从</t>
        </is>
      </c>
      <c r="C75" s="17" t="inlineStr">
        <is>
          <t>西昭</t>
        </is>
      </c>
      <c r="D75" s="17" t="inlineStr">
        <is>
          <t>随从</t>
        </is>
      </c>
      <c r="E75" s="17" t="inlineStr">
        <is>
          <t>普通</t>
        </is>
      </c>
      <c r="F75" s="6" t="n">
        <v>3</v>
      </c>
      <c r="G75" s="6" t="n">
        <v>2</v>
      </c>
      <c r="H75" s="6" t="n">
        <v>2</v>
      </c>
      <c r="I75" s="17" t="n">
        <v>2</v>
      </c>
      <c r="J75" s="18" t="inlineStr">
        <is>
          <t>余响、汲取</t>
        </is>
      </c>
      <c r="K75" s="18" t="inlineStr">
        <is>
          <t>汲取。余响：使一个友方随从获得 +1 攻击。</t>
        </is>
      </c>
      <c r="L75" s="18" t="inlineStr">
        <is>
          <t>deathrattle:buffRandomAlly</t>
        </is>
      </c>
      <c r="M75" s="8" t="n">
        <v>3</v>
      </c>
      <c r="N75" s="8" t="n">
        <v>2</v>
      </c>
      <c r="O75" s="8" t="n">
        <v>2</v>
      </c>
      <c r="P75" s="19">
        <f>IF(OR(F75&lt;&gt;M75,IF(AND(G75="",N75=""),FALSE,G75&lt;&gt;N75),IF(AND(H75="",O75=""),FALSE,H75&lt;&gt;O75)),"已改","")</f>
        <v/>
      </c>
      <c r="Q75" s="19" t="inlineStr">
        <is>
          <t>可组</t>
        </is>
      </c>
      <c r="R75" s="18" t="n"/>
    </row>
    <row r="76" ht="28" customHeight="1">
      <c r="A76" s="17" t="inlineStr">
        <is>
          <t>losutai_hunter</t>
        </is>
      </c>
      <c r="B76" s="17" t="inlineStr">
        <is>
          <t>洛斯汰猎手</t>
        </is>
      </c>
      <c r="C76" s="17" t="inlineStr">
        <is>
          <t>西昭</t>
        </is>
      </c>
      <c r="D76" s="17" t="inlineStr">
        <is>
          <t>随从</t>
        </is>
      </c>
      <c r="E76" s="17" t="inlineStr">
        <is>
          <t>普通</t>
        </is>
      </c>
      <c r="F76" s="6" t="n">
        <v>3</v>
      </c>
      <c r="G76" s="6" t="n">
        <v>3</v>
      </c>
      <c r="H76" s="6" t="n">
        <v>2</v>
      </c>
      <c r="I76" s="17" t="n">
        <v>2</v>
      </c>
      <c r="J76" s="18" t="inlineStr">
        <is>
          <t>余响、隐匿</t>
        </is>
      </c>
      <c r="K76" s="18" t="inlineStr">
        <is>
          <t>隐匿。余响：对随机敌方单位造成 1 点伤害。压脉 1：消耗 1 点流脉，对敌方领袖造成 1 点伤害。</t>
        </is>
      </c>
      <c r="L76" s="18" t="inlineStr">
        <is>
          <t>deathrattle:damageRandomEnemy</t>
        </is>
      </c>
      <c r="M76" s="8" t="n">
        <v>3</v>
      </c>
      <c r="N76" s="8" t="n">
        <v>3</v>
      </c>
      <c r="O76" s="8" t="n">
        <v>2</v>
      </c>
      <c r="P76" s="19">
        <f>IF(OR(F76&lt;&gt;M76,IF(AND(G76="",N76=""),FALSE,G76&lt;&gt;N76),IF(AND(H76="",O76=""),FALSE,H76&lt;&gt;O76)),"已改","")</f>
        <v/>
      </c>
      <c r="Q76" s="19" t="inlineStr">
        <is>
          <t>可组</t>
        </is>
      </c>
      <c r="R76" s="18" t="n"/>
    </row>
    <row r="77" ht="28" customHeight="1">
      <c r="A77" s="17" t="inlineStr">
        <is>
          <t>venom_fang</t>
        </is>
      </c>
      <c r="B77" s="17" t="inlineStr">
        <is>
          <t>毒潮獠牙</t>
        </is>
      </c>
      <c r="C77" s="17" t="inlineStr">
        <is>
          <t>西昭</t>
        </is>
      </c>
      <c r="D77" s="17" t="inlineStr">
        <is>
          <t>随从</t>
        </is>
      </c>
      <c r="E77" s="17" t="inlineStr">
        <is>
          <t>稀有</t>
        </is>
      </c>
      <c r="F77" s="6" t="n">
        <v>3</v>
      </c>
      <c r="G77" s="6" t="n">
        <v>1</v>
      </c>
      <c r="H77" s="6" t="n">
        <v>1</v>
      </c>
      <c r="I77" s="17" t="n">
        <v>2</v>
      </c>
      <c r="J77" s="18" t="inlineStr">
        <is>
          <t>蚀毒、汲取、隐匿</t>
        </is>
      </c>
      <c r="K77" s="18" t="inlineStr">
        <is>
          <t>蚀毒。汲取。隐匿。</t>
        </is>
      </c>
      <c r="L77" s="18" t="n"/>
      <c r="M77" s="8" t="n">
        <v>3</v>
      </c>
      <c r="N77" s="8" t="n">
        <v>1</v>
      </c>
      <c r="O77" s="8" t="n">
        <v>1</v>
      </c>
      <c r="P77" s="19">
        <f>IF(OR(F77&lt;&gt;M77,IF(AND(G77="",N77=""),FALSE,G77&lt;&gt;N77),IF(AND(H77="",O77=""),FALSE,H77&lt;&gt;O77)),"已改","")</f>
        <v/>
      </c>
      <c r="Q77" s="19" t="inlineStr">
        <is>
          <t>可组</t>
        </is>
      </c>
      <c r="R77" s="18" t="n"/>
    </row>
    <row r="78" ht="28" customHeight="1">
      <c r="A78" s="17" t="inlineStr">
        <is>
          <t>blood_wraith</t>
        </is>
      </c>
      <c r="B78" s="17" t="inlineStr">
        <is>
          <t>噬血幽魂</t>
        </is>
      </c>
      <c r="C78" s="17" t="inlineStr">
        <is>
          <t>西昭</t>
        </is>
      </c>
      <c r="D78" s="17" t="inlineStr">
        <is>
          <t>随从</t>
        </is>
      </c>
      <c r="E78" s="17" t="inlineStr">
        <is>
          <t>普通</t>
        </is>
      </c>
      <c r="F78" s="6" t="n">
        <v>3</v>
      </c>
      <c r="G78" s="6" t="n">
        <v>2</v>
      </c>
      <c r="H78" s="6" t="n">
        <v>3</v>
      </c>
      <c r="I78" s="17" t="n">
        <v>2</v>
      </c>
      <c r="J78" s="18" t="inlineStr">
        <is>
          <t>汲取、隐匿</t>
        </is>
      </c>
      <c r="K78" s="18" t="inlineStr">
        <is>
          <t>汲取。隐匿。压脉 1：消耗 1 点流脉，对敌方领袖造成 1 点伤害。</t>
        </is>
      </c>
      <c r="L78" s="18" t="n"/>
      <c r="M78" s="8" t="n">
        <v>3</v>
      </c>
      <c r="N78" s="8" t="n">
        <v>2</v>
      </c>
      <c r="O78" s="8" t="n">
        <v>3</v>
      </c>
      <c r="P78" s="19">
        <f>IF(OR(F78&lt;&gt;M78,IF(AND(G78="",N78=""),FALSE,G78&lt;&gt;N78),IF(AND(H78="",O78=""),FALSE,H78&lt;&gt;O78)),"已改","")</f>
        <v/>
      </c>
      <c r="Q78" s="19" t="inlineStr">
        <is>
          <t>可组</t>
        </is>
      </c>
      <c r="R78" s="18" t="n"/>
    </row>
    <row r="79" ht="28" customHeight="1">
      <c r="A79" s="17" t="inlineStr">
        <is>
          <t>tiega</t>
        </is>
      </c>
      <c r="B79" s="17" t="inlineStr">
        <is>
          <t>铁牙·阿古</t>
        </is>
      </c>
      <c r="C79" s="17" t="inlineStr">
        <is>
          <t>西昭</t>
        </is>
      </c>
      <c r="D79" s="17" t="inlineStr">
        <is>
          <t>随从</t>
        </is>
      </c>
      <c r="E79" s="17" t="inlineStr">
        <is>
          <t>传说</t>
        </is>
      </c>
      <c r="F79" s="6" t="n">
        <v>4</v>
      </c>
      <c r="G79" s="6" t="n">
        <v>3</v>
      </c>
      <c r="H79" s="6" t="n">
        <v>3</v>
      </c>
      <c r="I79" s="17" t="n">
        <v>1</v>
      </c>
      <c r="J79" s="18" t="inlineStr">
        <is>
          <t>突进、登场</t>
        </is>
      </c>
      <c r="K79" s="18" t="inlineStr">
        <is>
          <t>突进。血祭 5：获得 +2 攻击。</t>
        </is>
      </c>
      <c r="L79" s="18" t="inlineStr">
        <is>
          <t>battlecry:bloodAttack</t>
        </is>
      </c>
      <c r="M79" s="8" t="n">
        <v>4</v>
      </c>
      <c r="N79" s="8" t="n">
        <v>3</v>
      </c>
      <c r="O79" s="8" t="n">
        <v>3</v>
      </c>
      <c r="P79" s="19">
        <f>IF(OR(F79&lt;&gt;M79,IF(AND(G79="",N79=""),FALSE,G79&lt;&gt;N79),IF(AND(H79="",O79=""),FALSE,H79&lt;&gt;O79)),"已改","")</f>
        <v/>
      </c>
      <c r="Q79" s="19" t="inlineStr">
        <is>
          <t>可组</t>
        </is>
      </c>
      <c r="R79" s="18" t="n"/>
    </row>
    <row r="80" ht="28" customHeight="1">
      <c r="A80" s="17" t="inlineStr">
        <is>
          <t>grayfeather</t>
        </is>
      </c>
      <c r="B80" s="17" t="inlineStr">
        <is>
          <t>灰羽·乌恩</t>
        </is>
      </c>
      <c r="C80" s="17" t="inlineStr">
        <is>
          <t>西昭</t>
        </is>
      </c>
      <c r="D80" s="17" t="inlineStr">
        <is>
          <t>随从</t>
        </is>
      </c>
      <c r="E80" s="17" t="inlineStr">
        <is>
          <t>传说</t>
        </is>
      </c>
      <c r="F80" s="6" t="n">
        <v>4</v>
      </c>
      <c r="G80" s="6" t="n">
        <v>3</v>
      </c>
      <c r="H80" s="6" t="n">
        <v>3</v>
      </c>
      <c r="I80" s="17" t="n">
        <v>1</v>
      </c>
      <c r="J80" s="18" t="inlineStr">
        <is>
          <t>登场</t>
        </is>
      </c>
      <c r="K80" s="18" t="inlineStr">
        <is>
          <t>登场：吞噬同阵位所有其他友方随从，获得其攻击力和生命值。压脉 1：消耗 1 点流脉，对敌方领袖造成 1 点伤害。</t>
        </is>
      </c>
      <c r="L80" s="18" t="inlineStr">
        <is>
          <t>battlecry:devourZoneAllies</t>
        </is>
      </c>
      <c r="M80" s="8" t="n">
        <v>4</v>
      </c>
      <c r="N80" s="8" t="n">
        <v>3</v>
      </c>
      <c r="O80" s="8" t="n">
        <v>3</v>
      </c>
      <c r="P80" s="19">
        <f>IF(OR(F80&lt;&gt;M80,IF(AND(G80="",N80=""),FALSE,G80&lt;&gt;N80),IF(AND(H80="",O80=""),FALSE,H80&lt;&gt;O80)),"已改","")</f>
        <v/>
      </c>
      <c r="Q80" s="19" t="inlineStr">
        <is>
          <t>可组</t>
        </is>
      </c>
      <c r="R80" s="18" t="n"/>
    </row>
    <row r="81" ht="28" customHeight="1">
      <c r="A81" s="17" t="inlineStr">
        <is>
          <t>devourer</t>
        </is>
      </c>
      <c r="B81" s="17" t="inlineStr">
        <is>
          <t>噬潮者</t>
        </is>
      </c>
      <c r="C81" s="17" t="inlineStr">
        <is>
          <t>西昭</t>
        </is>
      </c>
      <c r="D81" s="17" t="inlineStr">
        <is>
          <t>随从</t>
        </is>
      </c>
      <c r="E81" s="17" t="inlineStr">
        <is>
          <t>史诗</t>
        </is>
      </c>
      <c r="F81" s="6" t="n">
        <v>4</v>
      </c>
      <c r="G81" s="6" t="n">
        <v>4</v>
      </c>
      <c r="H81" s="6" t="n">
        <v>2</v>
      </c>
      <c r="I81" s="17" t="n">
        <v>2</v>
      </c>
      <c r="J81" s="18" t="inlineStr">
        <is>
          <t>登场</t>
        </is>
      </c>
      <c r="K81" s="18" t="inlineStr">
        <is>
          <t>登场：吞噬一个攻击力最低的友方随从，获得其攻击力和生命值。</t>
        </is>
      </c>
      <c r="L81" s="18" t="inlineStr">
        <is>
          <t>battlecry:devour</t>
        </is>
      </c>
      <c r="M81" s="8" t="n">
        <v>4</v>
      </c>
      <c r="N81" s="8" t="n">
        <v>4</v>
      </c>
      <c r="O81" s="8" t="n">
        <v>2</v>
      </c>
      <c r="P81" s="19">
        <f>IF(OR(F81&lt;&gt;M81,IF(AND(G81="",N81=""),FALSE,G81&lt;&gt;N81),IF(AND(H81="",O81=""),FALSE,H81&lt;&gt;O81)),"已改","")</f>
        <v/>
      </c>
      <c r="Q81" s="19" t="inlineStr">
        <is>
          <t>可组</t>
        </is>
      </c>
      <c r="R81" s="18" t="n"/>
    </row>
    <row r="82" ht="28" customHeight="1">
      <c r="A82" s="17" t="inlineStr">
        <is>
          <t>brood_matron</t>
        </is>
      </c>
      <c r="B82" s="17" t="inlineStr">
        <is>
          <t>育巢母兽</t>
        </is>
      </c>
      <c r="C82" s="17" t="inlineStr">
        <is>
          <t>西昭</t>
        </is>
      </c>
      <c r="D82" s="17" t="inlineStr">
        <is>
          <t>随从</t>
        </is>
      </c>
      <c r="E82" s="17" t="inlineStr">
        <is>
          <t>史诗</t>
        </is>
      </c>
      <c r="F82" s="6" t="n">
        <v>4</v>
      </c>
      <c r="G82" s="6" t="n">
        <v>3</v>
      </c>
      <c r="H82" s="6" t="n">
        <v>4</v>
      </c>
      <c r="I82" s="17" t="n">
        <v>2</v>
      </c>
      <c r="J82" s="18" t="inlineStr">
        <is>
          <t>登场</t>
        </is>
      </c>
      <c r="K82" s="18" t="inlineStr">
        <is>
          <t>登场：召唤两个 1/1 洛斯汰魔物。</t>
        </is>
      </c>
      <c r="L82" s="18" t="inlineStr">
        <is>
          <t>battlecry:summonCount</t>
        </is>
      </c>
      <c r="M82" s="8" t="n">
        <v>4</v>
      </c>
      <c r="N82" s="8" t="n">
        <v>3</v>
      </c>
      <c r="O82" s="8" t="n">
        <v>4</v>
      </c>
      <c r="P82" s="19">
        <f>IF(OR(F82&lt;&gt;M82,IF(AND(G82="",N82=""),FALSE,G82&lt;&gt;N82),IF(AND(H82="",O82=""),FALSE,H82&lt;&gt;O82)),"已改","")</f>
        <v/>
      </c>
      <c r="Q82" s="19" t="inlineStr">
        <is>
          <t>可组</t>
        </is>
      </c>
      <c r="R82" s="18" t="n"/>
    </row>
    <row r="83" ht="28" customHeight="1">
      <c r="A83" s="17" t="inlineStr">
        <is>
          <t>blood_executor</t>
        </is>
      </c>
      <c r="B83" s="17" t="inlineStr">
        <is>
          <t>血债执行者</t>
        </is>
      </c>
      <c r="C83" s="17" t="inlineStr">
        <is>
          <t>西昭</t>
        </is>
      </c>
      <c r="D83" s="17" t="inlineStr">
        <is>
          <t>随从</t>
        </is>
      </c>
      <c r="E83" s="17" t="inlineStr">
        <is>
          <t>史诗</t>
        </is>
      </c>
      <c r="F83" s="6" t="n">
        <v>4</v>
      </c>
      <c r="G83" s="6" t="n">
        <v>3</v>
      </c>
      <c r="H83" s="6" t="n">
        <v>3</v>
      </c>
      <c r="I83" s="17" t="n">
        <v>2</v>
      </c>
      <c r="J83" s="18" t="inlineStr">
        <is>
          <t>被动、汲取</t>
        </is>
      </c>
      <c r="K83" s="18" t="inlineStr">
        <is>
          <t>汲取。被动：每当一个其他友方随从死亡，获得 +1/+1。</t>
        </is>
      </c>
      <c r="L83" s="18" t="inlineStr">
        <is>
          <t>passive:deathGrowth</t>
        </is>
      </c>
      <c r="M83" s="8" t="n">
        <v>4</v>
      </c>
      <c r="N83" s="8" t="n">
        <v>3</v>
      </c>
      <c r="O83" s="8" t="n">
        <v>3</v>
      </c>
      <c r="P83" s="19">
        <f>IF(OR(F83&lt;&gt;M83,IF(AND(G83="",N83=""),FALSE,G83&lt;&gt;N83),IF(AND(H83="",O83=""),FALSE,H83&lt;&gt;O83)),"已改","")</f>
        <v/>
      </c>
      <c r="Q83" s="19" t="inlineStr">
        <is>
          <t>可组</t>
        </is>
      </c>
      <c r="R83" s="18" t="n"/>
    </row>
    <row r="84" ht="28" customHeight="1">
      <c r="A84" s="17" t="inlineStr">
        <is>
          <t>lanxi</t>
        </is>
      </c>
      <c r="B84" s="17" t="inlineStr">
        <is>
          <t>澜汐</t>
        </is>
      </c>
      <c r="C84" s="17" t="inlineStr">
        <is>
          <t>西昭</t>
        </is>
      </c>
      <c r="D84" s="17" t="inlineStr">
        <is>
          <t>随从</t>
        </is>
      </c>
      <c r="E84" s="17" t="inlineStr">
        <is>
          <t>传说</t>
        </is>
      </c>
      <c r="F84" s="6" t="n">
        <v>5</v>
      </c>
      <c r="G84" s="6" t="n">
        <v>5</v>
      </c>
      <c r="H84" s="6" t="n">
        <v>5</v>
      </c>
      <c r="I84" s="17" t="n">
        <v>1</v>
      </c>
      <c r="J84" s="18" t="inlineStr">
        <is>
          <t>被动</t>
        </is>
      </c>
      <c r="K84" s="18" t="inlineStr">
        <is>
          <t>被动：场上每有一个洛斯汰魔物，获得 +1/+1。压脉 2：消耗 2 点流脉，对敌方领袖造成 2 点伤害。</t>
        </is>
      </c>
      <c r="L84" s="18" t="inlineStr">
        <is>
          <t>passive:impGrowth</t>
        </is>
      </c>
      <c r="M84" s="8" t="n">
        <v>5</v>
      </c>
      <c r="N84" s="8" t="n">
        <v>5</v>
      </c>
      <c r="O84" s="8" t="n">
        <v>5</v>
      </c>
      <c r="P84" s="19">
        <f>IF(OR(F84&lt;&gt;M84,IF(AND(G84="",N84=""),FALSE,G84&lt;&gt;N84),IF(AND(H84="",O84=""),FALSE,H84&lt;&gt;O84)),"已改","")</f>
        <v/>
      </c>
      <c r="Q84" s="19" t="inlineStr">
        <is>
          <t>可组</t>
        </is>
      </c>
      <c r="R84" s="18" t="n"/>
    </row>
    <row r="85" ht="28" customHeight="1">
      <c r="A85" s="17" t="inlineStr">
        <is>
          <t>blood_priestess</t>
        </is>
      </c>
      <c r="B85" s="17" t="inlineStr">
        <is>
          <t>血潮祭司</t>
        </is>
      </c>
      <c r="C85" s="17" t="inlineStr">
        <is>
          <t>西昭</t>
        </is>
      </c>
      <c r="D85" s="17" t="inlineStr">
        <is>
          <t>随从</t>
        </is>
      </c>
      <c r="E85" s="17" t="inlineStr">
        <is>
          <t>稀有</t>
        </is>
      </c>
      <c r="F85" s="6" t="n">
        <v>5</v>
      </c>
      <c r="G85" s="6" t="n">
        <v>3</v>
      </c>
      <c r="H85" s="6" t="n">
        <v>3</v>
      </c>
      <c r="I85" s="17" t="n">
        <v>2</v>
      </c>
      <c r="J85" s="18" t="inlineStr">
        <is>
          <t>登场、汲取</t>
        </is>
      </c>
      <c r="K85" s="18" t="inlineStr">
        <is>
          <t>汲取。登场：吞噬生命值最低的友方随从，获得其攻击力和生命值。</t>
        </is>
      </c>
      <c r="L85" s="18" t="inlineStr">
        <is>
          <t>battlecry:devourLowestHealth</t>
        </is>
      </c>
      <c r="M85" s="8" t="n">
        <v>5</v>
      </c>
      <c r="N85" s="8" t="n">
        <v>3</v>
      </c>
      <c r="O85" s="8" t="n">
        <v>3</v>
      </c>
      <c r="P85" s="19">
        <f>IF(OR(F85&lt;&gt;M85,IF(AND(G85="",N85=""),FALSE,G85&lt;&gt;N85),IF(AND(H85="",O85=""),FALSE,H85&lt;&gt;O85)),"已改","")</f>
        <v/>
      </c>
      <c r="Q85" s="19" t="inlineStr">
        <is>
          <t>可组</t>
        </is>
      </c>
      <c r="R85" s="18" t="n"/>
    </row>
    <row r="86" ht="28" customHeight="1">
      <c r="A86" s="17" t="inlineStr">
        <is>
          <t>losutai_matriarch</t>
        </is>
      </c>
      <c r="B86" s="17" t="inlineStr">
        <is>
          <t>洛斯汰母兽</t>
        </is>
      </c>
      <c r="C86" s="17" t="inlineStr">
        <is>
          <t>西昭</t>
        </is>
      </c>
      <c r="D86" s="17" t="inlineStr">
        <is>
          <t>随从</t>
        </is>
      </c>
      <c r="E86" s="17" t="inlineStr">
        <is>
          <t>史诗</t>
        </is>
      </c>
      <c r="F86" s="6" t="n">
        <v>6</v>
      </c>
      <c r="G86" s="6" t="n">
        <v>4</v>
      </c>
      <c r="H86" s="6" t="n">
        <v>5</v>
      </c>
      <c r="I86" s="17" t="n">
        <v>2</v>
      </c>
      <c r="J86" s="18" t="inlineStr">
        <is>
          <t>登场</t>
        </is>
      </c>
      <c r="K86" s="18" t="inlineStr">
        <is>
          <t>登场：召唤两个 1/1 洛斯汰魔物。</t>
        </is>
      </c>
      <c r="L86" s="18" t="inlineStr">
        <is>
          <t>battlecry:summonCount</t>
        </is>
      </c>
      <c r="M86" s="8" t="n">
        <v>6</v>
      </c>
      <c r="N86" s="8" t="n">
        <v>4</v>
      </c>
      <c r="O86" s="8" t="n">
        <v>5</v>
      </c>
      <c r="P86" s="19">
        <f>IF(OR(F86&lt;&gt;M86,IF(AND(G86="",N86=""),FALSE,G86&lt;&gt;N86),IF(AND(H86="",O86=""),FALSE,H86&lt;&gt;O86)),"已改","")</f>
        <v/>
      </c>
      <c r="Q86" s="19" t="inlineStr">
        <is>
          <t>可组</t>
        </is>
      </c>
      <c r="R86" s="18" t="n"/>
    </row>
    <row r="87" ht="28" customHeight="1">
      <c r="A87" s="17" t="inlineStr">
        <is>
          <t>tide_colossus</t>
        </is>
      </c>
      <c r="B87" s="17" t="inlineStr">
        <is>
          <t>潮骸巨像</t>
        </is>
      </c>
      <c r="C87" s="17" t="inlineStr">
        <is>
          <t>西昭</t>
        </is>
      </c>
      <c r="D87" s="17" t="inlineStr">
        <is>
          <t>随从</t>
        </is>
      </c>
      <c r="E87" s="17" t="inlineStr">
        <is>
          <t>史诗</t>
        </is>
      </c>
      <c r="F87" s="6" t="n">
        <v>7</v>
      </c>
      <c r="G87" s="6" t="n">
        <v>3</v>
      </c>
      <c r="H87" s="6" t="n">
        <v>2</v>
      </c>
      <c r="I87" s="17" t="n">
        <v>2</v>
      </c>
      <c r="J87" s="18" t="inlineStr">
        <is>
          <t>汲取</t>
        </is>
      </c>
      <c r="K87" s="18" t="inlineStr">
        <is>
          <t>汲取。登场：吞噬一个攻击力最低的友方随从，获得其攻击力和生命值；血祭 5：获得 +2/+2。</t>
        </is>
      </c>
      <c r="L87" s="18" t="inlineStr">
        <is>
          <t>battlecry:devourBloodBuff</t>
        </is>
      </c>
      <c r="M87" s="8" t="n">
        <v>7</v>
      </c>
      <c r="N87" s="8" t="n">
        <v>3</v>
      </c>
      <c r="O87" s="8" t="n">
        <v>2</v>
      </c>
      <c r="P87" s="19">
        <f>IF(OR(F87&lt;&gt;M87,IF(AND(G87="",N87=""),FALSE,G87&lt;&gt;N87),IF(AND(H87="",O87=""),FALSE,H87&lt;&gt;O87)),"已改","")</f>
        <v/>
      </c>
      <c r="Q87" s="19" t="inlineStr">
        <is>
          <t>可组</t>
        </is>
      </c>
      <c r="R87" s="18" t="n"/>
    </row>
    <row r="88" ht="28" customHeight="1">
      <c r="A88" s="17" t="inlineStr">
        <is>
          <t>blood_ritual</t>
        </is>
      </c>
      <c r="B88" s="17" t="inlineStr">
        <is>
          <t>血祭仪式</t>
        </is>
      </c>
      <c r="C88" s="17" t="inlineStr">
        <is>
          <t>西昭</t>
        </is>
      </c>
      <c r="D88" s="17" t="inlineStr">
        <is>
          <t>战术</t>
        </is>
      </c>
      <c r="E88" s="17" t="inlineStr">
        <is>
          <t>普通</t>
        </is>
      </c>
      <c r="F88" s="6" t="n">
        <v>2</v>
      </c>
      <c r="G88" s="6" t="n"/>
      <c r="H88" s="6" t="n"/>
      <c r="I88" s="17" t="n">
        <v>2</v>
      </c>
      <c r="J88" s="18" t="n"/>
      <c r="K88" s="18" t="inlineStr">
        <is>
          <t>对一个友方随从造成 2 点伤害，抽 1 张牌；若该随从死亡，再抽 1 张牌。</t>
        </is>
      </c>
      <c r="L88" s="18" t="inlineStr">
        <is>
          <t>spell:bloodDraw</t>
        </is>
      </c>
      <c r="M88" s="8" t="n">
        <v>2</v>
      </c>
      <c r="N88" s="8" t="n"/>
      <c r="O88" s="8" t="n"/>
      <c r="P88" s="19">
        <f>IF(OR(F88&lt;&gt;M88,IF(AND(G88="",N88=""),FALSE,G88&lt;&gt;N88),IF(AND(H88="",O88=""),FALSE,H88&lt;&gt;O88)),"已改","")</f>
        <v/>
      </c>
      <c r="Q88" s="19" t="inlineStr">
        <is>
          <t>可组</t>
        </is>
      </c>
      <c r="R88" s="18" t="n"/>
    </row>
    <row r="89" ht="28" customHeight="1">
      <c r="A89" s="17" t="inlineStr">
        <is>
          <t>shadow_raid</t>
        </is>
      </c>
      <c r="B89" s="17" t="inlineStr">
        <is>
          <t>暗影袭扰</t>
        </is>
      </c>
      <c r="C89" s="17" t="inlineStr">
        <is>
          <t>西昭</t>
        </is>
      </c>
      <c r="D89" s="17" t="inlineStr">
        <is>
          <t>战术</t>
        </is>
      </c>
      <c r="E89" s="17" t="inlineStr">
        <is>
          <t>普通</t>
        </is>
      </c>
      <c r="F89" s="6" t="n">
        <v>2</v>
      </c>
      <c r="G89" s="6" t="n"/>
      <c r="H89" s="6" t="n"/>
      <c r="I89" s="17" t="n">
        <v>2</v>
      </c>
      <c r="J89" s="18" t="n"/>
      <c r="K89" s="18" t="inlineStr">
        <is>
          <t>使一个友方随从获得 +2 攻击和隐匿。</t>
        </is>
      </c>
      <c r="L89" s="18" t="inlineStr">
        <is>
          <t>spell:buffStealth</t>
        </is>
      </c>
      <c r="M89" s="8" t="n">
        <v>2</v>
      </c>
      <c r="N89" s="8" t="n"/>
      <c r="O89" s="8" t="n"/>
      <c r="P89" s="19">
        <f>IF(OR(F89&lt;&gt;M89,IF(AND(G89="",N89=""),FALSE,G89&lt;&gt;N89),IF(AND(H89="",O89=""),FALSE,H89&lt;&gt;O89)),"已改","")</f>
        <v/>
      </c>
      <c r="Q89" s="19" t="inlineStr">
        <is>
          <t>可组</t>
        </is>
      </c>
      <c r="R89" s="18" t="n"/>
    </row>
    <row r="90" ht="28" customHeight="1">
      <c r="A90" s="17" t="inlineStr">
        <is>
          <t>reflux</t>
        </is>
      </c>
      <c r="B90" s="17" t="inlineStr">
        <is>
          <t>逆流</t>
        </is>
      </c>
      <c r="C90" s="17" t="inlineStr">
        <is>
          <t>西昭</t>
        </is>
      </c>
      <c r="D90" s="17" t="inlineStr">
        <is>
          <t>战术</t>
        </is>
      </c>
      <c r="E90" s="17" t="inlineStr">
        <is>
          <t>稀有</t>
        </is>
      </c>
      <c r="F90" s="6" t="n">
        <v>2</v>
      </c>
      <c r="G90" s="6" t="n"/>
      <c r="H90" s="6" t="n"/>
      <c r="I90" s="17" t="n">
        <v>2</v>
      </c>
      <c r="J90" s="18" t="n"/>
      <c r="K90" s="18" t="inlineStr">
        <is>
          <t>压脉 3：消耗 3 点流脉，对敌方领袖造成 3 点伤害；恢复你的领袖 3 点生命。</t>
        </is>
      </c>
      <c r="L90" s="18" t="inlineStr">
        <is>
          <t>spell:healHero</t>
        </is>
      </c>
      <c r="M90" s="8" t="n">
        <v>2</v>
      </c>
      <c r="N90" s="8" t="n"/>
      <c r="O90" s="8" t="n"/>
      <c r="P90" s="19">
        <f>IF(OR(F90&lt;&gt;M90,IF(AND(G90="",N90=""),FALSE,G90&lt;&gt;N90),IF(AND(H90="",O90=""),FALSE,H90&lt;&gt;O90)),"已改","")</f>
        <v/>
      </c>
      <c r="Q90" s="19" t="inlineStr">
        <is>
          <t>可组</t>
        </is>
      </c>
      <c r="R90" s="18" t="n"/>
    </row>
    <row r="91" ht="28" customHeight="1">
      <c r="A91" s="17" t="inlineStr">
        <is>
          <t>blood_pact</t>
        </is>
      </c>
      <c r="B91" s="17" t="inlineStr">
        <is>
          <t>血契</t>
        </is>
      </c>
      <c r="C91" s="17" t="inlineStr">
        <is>
          <t>西昭</t>
        </is>
      </c>
      <c r="D91" s="17" t="inlineStr">
        <is>
          <t>战术</t>
        </is>
      </c>
      <c r="E91" s="17" t="inlineStr">
        <is>
          <t>稀有</t>
        </is>
      </c>
      <c r="F91" s="6" t="n">
        <v>2</v>
      </c>
      <c r="G91" s="6" t="n"/>
      <c r="H91" s="6" t="n"/>
      <c r="I91" s="17" t="n">
        <v>2</v>
      </c>
      <c r="J91" s="18" t="n"/>
      <c r="K91" s="18" t="inlineStr">
        <is>
          <t>支付 3 点生命，使一个友方随从获得汲取和隐匿。</t>
        </is>
      </c>
      <c r="L91" s="18" t="inlineStr">
        <is>
          <t>spell:bloodGrant</t>
        </is>
      </c>
      <c r="M91" s="8" t="n">
        <v>2</v>
      </c>
      <c r="N91" s="8" t="n"/>
      <c r="O91" s="8" t="n"/>
      <c r="P91" s="19">
        <f>IF(OR(F91&lt;&gt;M91,IF(AND(G91="",N91=""),FALSE,G91&lt;&gt;N91),IF(AND(H91="",O91=""),FALSE,H91&lt;&gt;O91)),"已改","")</f>
        <v/>
      </c>
      <c r="Q91" s="19" t="inlineStr">
        <is>
          <t>可组</t>
        </is>
      </c>
      <c r="R91" s="18" t="n"/>
    </row>
    <row r="92" ht="28" customHeight="1">
      <c r="A92" s="17" t="inlineStr">
        <is>
          <t>blood_altar</t>
        </is>
      </c>
      <c r="B92" s="17" t="inlineStr">
        <is>
          <t>血祭祭坛</t>
        </is>
      </c>
      <c r="C92" s="17" t="inlineStr">
        <is>
          <t>西昭</t>
        </is>
      </c>
      <c r="D92" s="17" t="inlineStr">
        <is>
          <t>战术</t>
        </is>
      </c>
      <c r="E92" s="17" t="inlineStr">
        <is>
          <t>史诗</t>
        </is>
      </c>
      <c r="F92" s="6" t="n">
        <v>2</v>
      </c>
      <c r="G92" s="6" t="n"/>
      <c r="H92" s="6" t="n"/>
      <c r="I92" s="17" t="n">
        <v>2</v>
      </c>
      <c r="J92" s="18" t="n"/>
      <c r="K92" s="18" t="inlineStr">
        <is>
          <t>召唤两个 1/1 的洛斯汰魔物。</t>
        </is>
      </c>
      <c r="L92" s="18" t="inlineStr">
        <is>
          <t>spell:summonTwoTokens</t>
        </is>
      </c>
      <c r="M92" s="8" t="n">
        <v>2</v>
      </c>
      <c r="N92" s="8" t="n"/>
      <c r="O92" s="8" t="n"/>
      <c r="P92" s="19">
        <f>IF(OR(F92&lt;&gt;M92,IF(AND(G92="",N92=""),FALSE,G92&lt;&gt;N92),IF(AND(H92="",O92=""),FALSE,H92&lt;&gt;O92)),"已改","")</f>
        <v/>
      </c>
      <c r="Q92" s="19" t="inlineStr">
        <is>
          <t>可组</t>
        </is>
      </c>
      <c r="R92" s="18" t="n"/>
    </row>
    <row r="93" ht="28" customHeight="1">
      <c r="A93" s="17" t="inlineStr">
        <is>
          <t>blood_path</t>
        </is>
      </c>
      <c r="B93" s="17" t="inlineStr">
        <is>
          <t>血路</t>
        </is>
      </c>
      <c r="C93" s="17" t="inlineStr">
        <is>
          <t>西昭</t>
        </is>
      </c>
      <c r="D93" s="17" t="inlineStr">
        <is>
          <t>战术</t>
        </is>
      </c>
      <c r="E93" s="17" t="inlineStr">
        <is>
          <t>稀有</t>
        </is>
      </c>
      <c r="F93" s="6" t="n">
        <v>2</v>
      </c>
      <c r="G93" s="6" t="n"/>
      <c r="H93" s="6" t="n"/>
      <c r="I93" s="17" t="n">
        <v>2</v>
      </c>
      <c r="J93" s="18" t="n"/>
      <c r="K93" s="18" t="inlineStr">
        <is>
          <t>使一个友方随从获得 +1 攻击和汲取。</t>
        </is>
      </c>
      <c r="L93" s="18" t="inlineStr">
        <is>
          <t>spell:buffLifesteal</t>
        </is>
      </c>
      <c r="M93" s="8" t="n">
        <v>2</v>
      </c>
      <c r="N93" s="8" t="n"/>
      <c r="O93" s="8" t="n"/>
      <c r="P93" s="19">
        <f>IF(OR(F93&lt;&gt;M93,IF(AND(G93="",N93=""),FALSE,G93&lt;&gt;N93),IF(AND(H93="",O93=""),FALSE,H93&lt;&gt;O93)),"已改","")</f>
        <v/>
      </c>
      <c r="Q93" s="19" t="inlineStr">
        <is>
          <t>可组</t>
        </is>
      </c>
      <c r="R93" s="18" t="n"/>
    </row>
    <row r="94" ht="28" customHeight="1">
      <c r="A94" s="17" t="inlineStr">
        <is>
          <t>blood_contract</t>
        </is>
      </c>
      <c r="B94" s="17" t="inlineStr">
        <is>
          <t>血偿契约</t>
        </is>
      </c>
      <c r="C94" s="17" t="inlineStr">
        <is>
          <t>西昭</t>
        </is>
      </c>
      <c r="D94" s="17" t="inlineStr">
        <is>
          <t>战术</t>
        </is>
      </c>
      <c r="E94" s="17" t="inlineStr">
        <is>
          <t>史诗</t>
        </is>
      </c>
      <c r="F94" s="6" t="n">
        <v>2</v>
      </c>
      <c r="G94" s="6" t="n"/>
      <c r="H94" s="6" t="n"/>
      <c r="I94" s="17" t="n">
        <v>2</v>
      </c>
      <c r="J94" s="18" t="n"/>
      <c r="K94" s="18" t="inlineStr">
        <is>
          <t>对一个友方随从造成 2 点伤害；抽 2 张牌。</t>
        </is>
      </c>
      <c r="L94" s="18" t="inlineStr">
        <is>
          <t>spell:friendlyDamageDraw</t>
        </is>
      </c>
      <c r="M94" s="8" t="n">
        <v>2</v>
      </c>
      <c r="N94" s="8" t="n"/>
      <c r="O94" s="8" t="n"/>
      <c r="P94" s="19">
        <f>IF(OR(F94&lt;&gt;M94,IF(AND(G94="",N94=""),FALSE,G94&lt;&gt;N94),IF(AND(H94="",O94=""),FALSE,H94&lt;&gt;O94)),"已改","")</f>
        <v/>
      </c>
      <c r="Q94" s="19" t="inlineStr">
        <is>
          <t>可组</t>
        </is>
      </c>
      <c r="R94" s="18" t="n"/>
    </row>
    <row r="95" ht="28" customHeight="1">
      <c r="A95" s="17" t="inlineStr">
        <is>
          <t>hunt_ritual</t>
        </is>
      </c>
      <c r="B95" s="17" t="inlineStr">
        <is>
          <t>猎杀仪式</t>
        </is>
      </c>
      <c r="C95" s="17" t="inlineStr">
        <is>
          <t>西昭</t>
        </is>
      </c>
      <c r="D95" s="17" t="inlineStr">
        <is>
          <t>战术</t>
        </is>
      </c>
      <c r="E95" s="17" t="inlineStr">
        <is>
          <t>普通</t>
        </is>
      </c>
      <c r="F95" s="6" t="n">
        <v>3</v>
      </c>
      <c r="G95" s="6" t="n"/>
      <c r="H95" s="6" t="n"/>
      <c r="I95" s="17" t="n">
        <v>2</v>
      </c>
      <c r="J95" s="18" t="n"/>
      <c r="K95" s="18" t="inlineStr">
        <is>
          <t>对一个敌方随从造成 5 点伤害。</t>
        </is>
      </c>
      <c r="L95" s="18" t="inlineStr">
        <is>
          <t>spell:damage</t>
        </is>
      </c>
      <c r="M95" s="8" t="n">
        <v>3</v>
      </c>
      <c r="N95" s="8" t="n"/>
      <c r="O95" s="8" t="n"/>
      <c r="P95" s="19">
        <f>IF(OR(F95&lt;&gt;M95,IF(AND(G95="",N95=""),FALSE,G95&lt;&gt;N95),IF(AND(H95="",O95=""),FALSE,H95&lt;&gt;O95)),"已改","")</f>
        <v/>
      </c>
      <c r="Q95" s="19" t="inlineStr">
        <is>
          <t>可组</t>
        </is>
      </c>
      <c r="R95" s="18" t="n"/>
    </row>
    <row r="96" ht="28" customHeight="1">
      <c r="A96" s="17" t="inlineStr">
        <is>
          <t>blood_pool</t>
        </is>
      </c>
      <c r="B96" s="17" t="inlineStr">
        <is>
          <t>血池献祭</t>
        </is>
      </c>
      <c r="C96" s="17" t="inlineStr">
        <is>
          <t>西昭</t>
        </is>
      </c>
      <c r="D96" s="17" t="inlineStr">
        <is>
          <t>战术</t>
        </is>
      </c>
      <c r="E96" s="17" t="inlineStr">
        <is>
          <t>稀有</t>
        </is>
      </c>
      <c r="F96" s="6" t="n">
        <v>3</v>
      </c>
      <c r="G96" s="6" t="n"/>
      <c r="H96" s="6" t="n"/>
      <c r="I96" s="17" t="n">
        <v>2</v>
      </c>
      <c r="J96" s="18" t="n"/>
      <c r="K96" s="18" t="inlineStr">
        <is>
          <t>抽 2 张牌。</t>
        </is>
      </c>
      <c r="L96" s="18" t="inlineStr">
        <is>
          <t>spell:draw</t>
        </is>
      </c>
      <c r="M96" s="8" t="n">
        <v>3</v>
      </c>
      <c r="N96" s="8" t="n"/>
      <c r="O96" s="8" t="n"/>
      <c r="P96" s="19">
        <f>IF(OR(F96&lt;&gt;M96,IF(AND(G96="",N96=""),FALSE,G96&lt;&gt;N96),IF(AND(H96="",O96=""),FALSE,H96&lt;&gt;O96)),"已改","")</f>
        <v/>
      </c>
      <c r="Q96" s="19" t="inlineStr">
        <is>
          <t>可组</t>
        </is>
      </c>
      <c r="R96" s="18" t="n"/>
    </row>
    <row r="97" ht="28" customHeight="1">
      <c r="A97" s="17" t="inlineStr">
        <is>
          <t>monster_summon</t>
        </is>
      </c>
      <c r="B97" s="17" t="inlineStr">
        <is>
          <t>魔物召唤</t>
        </is>
      </c>
      <c r="C97" s="17" t="inlineStr">
        <is>
          <t>西昭</t>
        </is>
      </c>
      <c r="D97" s="17" t="inlineStr">
        <is>
          <t>战术</t>
        </is>
      </c>
      <c r="E97" s="17" t="inlineStr">
        <is>
          <t>普通</t>
        </is>
      </c>
      <c r="F97" s="6" t="n">
        <v>4</v>
      </c>
      <c r="G97" s="6" t="n"/>
      <c r="H97" s="6" t="n"/>
      <c r="I97" s="17" t="n">
        <v>2</v>
      </c>
      <c r="J97" s="18" t="n"/>
      <c r="K97" s="18" t="inlineStr">
        <is>
          <t>压脉 1：消耗 1 点流脉，对敌方领袖造成 1 点伤害。召唤一个 3/3 洛斯汰巨兽；若其阵位没有其他随从，再召唤一个 3/3 洛斯汰巨兽。</t>
        </is>
      </c>
      <c r="L97" s="18" t="inlineStr">
        <is>
          <t>spell:summonMonster</t>
        </is>
      </c>
      <c r="M97" s="8" t="n">
        <v>4</v>
      </c>
      <c r="N97" s="8" t="n"/>
      <c r="O97" s="8" t="n"/>
      <c r="P97" s="19">
        <f>IF(OR(F97&lt;&gt;M97,IF(AND(G97="",N97=""),FALSE,G97&lt;&gt;N97),IF(AND(H97="",O97=""),FALSE,H97&lt;&gt;O97)),"已改","")</f>
        <v/>
      </c>
      <c r="Q97" s="19" t="inlineStr">
        <is>
          <t>可组</t>
        </is>
      </c>
      <c r="R97" s="18" t="n"/>
    </row>
    <row r="98" ht="28" customHeight="1">
      <c r="A98" s="17" t="inlineStr">
        <is>
          <t>formation_tide</t>
        </is>
      </c>
      <c r="B98" s="17" t="inlineStr">
        <is>
          <t>潮痕阵线</t>
        </is>
      </c>
      <c r="C98" s="17" t="inlineStr">
        <is>
          <t>西昭</t>
        </is>
      </c>
      <c r="D98" s="17" t="inlineStr">
        <is>
          <t>阵型</t>
        </is>
      </c>
      <c r="E98" s="17" t="inlineStr">
        <is>
          <t>稀有</t>
        </is>
      </c>
      <c r="F98" s="6" t="n">
        <v>4</v>
      </c>
      <c r="G98" s="6" t="n"/>
      <c r="H98" s="6" t="n"/>
      <c r="I98" s="17" t="n">
        <v>2</v>
      </c>
      <c r="J98" s="18" t="n"/>
      <c r="K98" s="18" t="inlineStr">
        <is>
          <t>该阵位友方随从固定获得汲取。</t>
        </is>
      </c>
      <c r="L98" s="18" t="n"/>
      <c r="M98" s="8" t="n">
        <v>4</v>
      </c>
      <c r="N98" s="8" t="n"/>
      <c r="O98" s="8" t="n"/>
      <c r="P98" s="19">
        <f>IF(OR(F98&lt;&gt;M98,IF(AND(G98="",N98=""),FALSE,G98&lt;&gt;N98),IF(AND(H98="",O98=""),FALSE,H98&lt;&gt;O98)),"已改","")</f>
        <v/>
      </c>
      <c r="Q98" s="19" t="inlineStr">
        <is>
          <t>可组</t>
        </is>
      </c>
      <c r="R98" s="18" t="n"/>
    </row>
    <row r="99" ht="28" customHeight="1">
      <c r="A99" s="17" t="inlineStr">
        <is>
          <t>blood_scythe</t>
        </is>
      </c>
      <c r="B99" s="17" t="inlineStr">
        <is>
          <t>血潮镰</t>
        </is>
      </c>
      <c r="C99" s="17" t="inlineStr">
        <is>
          <t>西昭</t>
        </is>
      </c>
      <c r="D99" s="17" t="inlineStr">
        <is>
          <t>遗物</t>
        </is>
      </c>
      <c r="E99" s="17" t="inlineStr">
        <is>
          <t>史诗</t>
        </is>
      </c>
      <c r="F99" s="6" t="n">
        <v>3</v>
      </c>
      <c r="G99" s="6" t="n"/>
      <c r="H99" s="6" t="n"/>
      <c r="I99" s="17" t="n">
        <v>1</v>
      </c>
      <c r="J99" s="18" t="n"/>
      <c r="K99" s="18" t="inlineStr">
        <is>
          <t>遗物：友方随从死亡时，你的领袖恢复 1 点生命。</t>
        </is>
      </c>
      <c r="L99" s="18" t="n"/>
      <c r="M99" s="8" t="n">
        <v>3</v>
      </c>
      <c r="N99" s="8" t="n"/>
      <c r="O99" s="8" t="n"/>
      <c r="P99" s="19">
        <f>IF(OR(F99&lt;&gt;M99,IF(AND(G99="",N99=""),FALSE,G99&lt;&gt;N99),IF(AND(H99="",O99=""),FALSE,H99&lt;&gt;O99)),"已改","")</f>
        <v/>
      </c>
      <c r="Q99" s="20" t="inlineStr">
        <is>
          <t>遗物</t>
        </is>
      </c>
      <c r="R99" s="18" t="n"/>
    </row>
    <row r="100" ht="28" customHeight="1">
      <c r="A100" s="17" t="inlineStr">
        <is>
          <t>blood_censer</t>
        </is>
      </c>
      <c r="B100" s="17" t="inlineStr">
        <is>
          <t>血香炉</t>
        </is>
      </c>
      <c r="C100" s="17" t="inlineStr">
        <is>
          <t>西昭</t>
        </is>
      </c>
      <c r="D100" s="17" t="inlineStr">
        <is>
          <t>遗物</t>
        </is>
      </c>
      <c r="E100" s="17" t="inlineStr">
        <is>
          <t>史诗</t>
        </is>
      </c>
      <c r="F100" s="6" t="n">
        <v>3</v>
      </c>
      <c r="G100" s="6" t="n"/>
      <c r="H100" s="6" t="n"/>
      <c r="I100" s="17" t="n">
        <v>1</v>
      </c>
      <c r="J100" s="18" t="n"/>
      <c r="K100" s="18" t="inlineStr">
        <is>
          <t>遗物：你的回合开始时，对场上随机一个随从（不分敌我）造成 1 点伤害；若它存活，你抽 1 张牌。</t>
        </is>
      </c>
      <c r="L100" s="18" t="n"/>
      <c r="M100" s="8" t="n">
        <v>3</v>
      </c>
      <c r="N100" s="8" t="n"/>
      <c r="O100" s="8" t="n"/>
      <c r="P100" s="19">
        <f>IF(OR(F100&lt;&gt;M100,IF(AND(G100="",N100=""),FALSE,G100&lt;&gt;N100),IF(AND(H100="",O100=""),FALSE,H100&lt;&gt;O100)),"已改","")</f>
        <v/>
      </c>
      <c r="Q100" s="20" t="inlineStr">
        <is>
          <t>遗物</t>
        </is>
      </c>
      <c r="R100" s="18" t="n"/>
    </row>
    <row r="101" ht="28" customHeight="1">
      <c r="A101" s="22" t="inlineStr">
        <is>
          <t>shield_recruit</t>
        </is>
      </c>
      <c r="B101" s="22" t="inlineStr">
        <is>
          <t>盾墙新兵</t>
        </is>
      </c>
      <c r="C101" s="22" t="inlineStr">
        <is>
          <t>共和国</t>
        </is>
      </c>
      <c r="D101" s="22" t="inlineStr">
        <is>
          <t>随从</t>
        </is>
      </c>
      <c r="E101" s="22" t="inlineStr">
        <is>
          <t>普通</t>
        </is>
      </c>
      <c r="F101" s="6" t="n">
        <v>1</v>
      </c>
      <c r="G101" s="6" t="n">
        <v>1</v>
      </c>
      <c r="H101" s="6" t="n">
        <v>2</v>
      </c>
      <c r="I101" s="22" t="n">
        <v>2</v>
      </c>
      <c r="J101" s="23" t="inlineStr">
        <is>
          <t>拦截</t>
        </is>
      </c>
      <c r="K101" s="23" t="inlineStr">
        <is>
          <t>拦截。</t>
        </is>
      </c>
      <c r="L101" s="23" t="n"/>
      <c r="M101" s="8" t="n">
        <v>1</v>
      </c>
      <c r="N101" s="8" t="n">
        <v>1</v>
      </c>
      <c r="O101" s="8" t="n">
        <v>2</v>
      </c>
      <c r="P101" s="24">
        <f>IF(OR(F101&lt;&gt;M101,IF(AND(G101="",N101=""),FALSE,G101&lt;&gt;N101),IF(AND(H101="",O101=""),FALSE,H101&lt;&gt;O101)),"已改","")</f>
        <v/>
      </c>
      <c r="Q101" s="24" t="inlineStr">
        <is>
          <t>可组</t>
        </is>
      </c>
      <c r="R101" s="23" t="n"/>
    </row>
    <row r="102" ht="28" customHeight="1">
      <c r="A102" s="22" t="inlineStr">
        <is>
          <t>hans</t>
        </is>
      </c>
      <c r="B102" s="22" t="inlineStr">
        <is>
          <t>汉斯·冯·霍尔姆</t>
        </is>
      </c>
      <c r="C102" s="22" t="inlineStr">
        <is>
          <t>共和国</t>
        </is>
      </c>
      <c r="D102" s="22" t="inlineStr">
        <is>
          <t>随从</t>
        </is>
      </c>
      <c r="E102" s="22" t="inlineStr">
        <is>
          <t>传说</t>
        </is>
      </c>
      <c r="F102" s="6" t="n">
        <v>2</v>
      </c>
      <c r="G102" s="6" t="n">
        <v>2</v>
      </c>
      <c r="H102" s="6" t="n">
        <v>1</v>
      </c>
      <c r="I102" s="22" t="n">
        <v>1</v>
      </c>
      <c r="J102" s="23" t="inlineStr">
        <is>
          <t>拦截</t>
        </is>
      </c>
      <c r="K102" s="23" t="inlineStr">
        <is>
          <t>拦截。被动：你召唤的拦截随从获得 +0/+1；该随从在场时，同阵位每有一个其他友方随从，本随从获得 +0/+1。</t>
        </is>
      </c>
      <c r="L102" s="23" t="inlineStr">
        <is>
          <t>passive:tauntAura；zoneBonus:object</t>
        </is>
      </c>
      <c r="M102" s="8" t="n">
        <v>2</v>
      </c>
      <c r="N102" s="8" t="n">
        <v>2</v>
      </c>
      <c r="O102" s="8" t="n">
        <v>1</v>
      </c>
      <c r="P102" s="24">
        <f>IF(OR(F102&lt;&gt;M102,IF(AND(G102="",N102=""),FALSE,G102&lt;&gt;N102),IF(AND(H102="",O102=""),FALSE,H102&lt;&gt;O102)),"已改","")</f>
        <v/>
      </c>
      <c r="Q102" s="24" t="inlineStr">
        <is>
          <t>可组</t>
        </is>
      </c>
      <c r="R102" s="23" t="n"/>
    </row>
    <row r="103" ht="28" customHeight="1">
      <c r="A103" s="22" t="inlineStr">
        <is>
          <t>republic_guard</t>
        </is>
      </c>
      <c r="B103" s="22" t="inlineStr">
        <is>
          <t>共和国卫兵</t>
        </is>
      </c>
      <c r="C103" s="22" t="inlineStr">
        <is>
          <t>共和国</t>
        </is>
      </c>
      <c r="D103" s="22" t="inlineStr">
        <is>
          <t>随从</t>
        </is>
      </c>
      <c r="E103" s="22" t="inlineStr">
        <is>
          <t>普通</t>
        </is>
      </c>
      <c r="F103" s="6" t="n">
        <v>2</v>
      </c>
      <c r="G103" s="6" t="n">
        <v>1</v>
      </c>
      <c r="H103" s="6" t="n">
        <v>2</v>
      </c>
      <c r="I103" s="22" t="n">
        <v>2</v>
      </c>
      <c r="J103" s="23" t="inlineStr">
        <is>
          <t>拦截、余响</t>
        </is>
      </c>
      <c r="K103" s="23" t="inlineStr">
        <is>
          <t>拦截。余响：对随机一个敌方随从造成 2 点伤害。</t>
        </is>
      </c>
      <c r="L103" s="23" t="inlineStr">
        <is>
          <t>deathrattle:damageRandomMinion</t>
        </is>
      </c>
      <c r="M103" s="8" t="n">
        <v>2</v>
      </c>
      <c r="N103" s="8" t="n">
        <v>1</v>
      </c>
      <c r="O103" s="8" t="n">
        <v>2</v>
      </c>
      <c r="P103" s="24">
        <f>IF(OR(F103&lt;&gt;M103,IF(AND(G103="",N103=""),FALSE,G103&lt;&gt;N103),IF(AND(H103="",O103=""),FALSE,H103&lt;&gt;O103)),"已改","")</f>
        <v/>
      </c>
      <c r="Q103" s="24" t="inlineStr">
        <is>
          <t>可组</t>
        </is>
      </c>
      <c r="R103" s="23" t="n"/>
    </row>
    <row r="104" ht="28" customHeight="1">
      <c r="A104" s="22" t="inlineStr">
        <is>
          <t>drill_sergeant</t>
        </is>
      </c>
      <c r="B104" s="22" t="inlineStr">
        <is>
          <t>操练军士</t>
        </is>
      </c>
      <c r="C104" s="22" t="inlineStr">
        <is>
          <t>共和国</t>
        </is>
      </c>
      <c r="D104" s="22" t="inlineStr">
        <is>
          <t>随从</t>
        </is>
      </c>
      <c r="E104" s="22" t="inlineStr">
        <is>
          <t>稀有</t>
        </is>
      </c>
      <c r="F104" s="6" t="n">
        <v>2</v>
      </c>
      <c r="G104" s="6" t="n">
        <v>2</v>
      </c>
      <c r="H104" s="6" t="n">
        <v>2</v>
      </c>
      <c r="I104" s="22" t="n">
        <v>2</v>
      </c>
      <c r="J104" s="23" t="inlineStr">
        <is>
          <t>余响</t>
        </is>
      </c>
      <c r="K104" s="23" t="inlineStr">
        <is>
          <t>余响：使一个随机友方随从获得拦截。</t>
        </is>
      </c>
      <c r="L104" s="23" t="inlineStr">
        <is>
          <t>deathrattle:tauntRandomAlly</t>
        </is>
      </c>
      <c r="M104" s="8" t="n">
        <v>2</v>
      </c>
      <c r="N104" s="8" t="n">
        <v>2</v>
      </c>
      <c r="O104" s="8" t="n">
        <v>2</v>
      </c>
      <c r="P104" s="24">
        <f>IF(OR(F104&lt;&gt;M104,IF(AND(G104="",N104=""),FALSE,G104&lt;&gt;N104),IF(AND(H104="",O104=""),FALSE,H104&lt;&gt;O104)),"已改","")</f>
        <v/>
      </c>
      <c r="Q104" s="24" t="inlineStr">
        <is>
          <t>可组</t>
        </is>
      </c>
      <c r="R104" s="23" t="n"/>
    </row>
    <row r="105" ht="28" customHeight="1">
      <c r="A105" s="22" t="inlineStr">
        <is>
          <t>bulwark_sentry</t>
        </is>
      </c>
      <c r="B105" s="22" t="inlineStr">
        <is>
          <t>壁垒哨兵</t>
        </is>
      </c>
      <c r="C105" s="22" t="inlineStr">
        <is>
          <t>共和国</t>
        </is>
      </c>
      <c r="D105" s="22" t="inlineStr">
        <is>
          <t>随从</t>
        </is>
      </c>
      <c r="E105" s="22" t="inlineStr">
        <is>
          <t>普通</t>
        </is>
      </c>
      <c r="F105" s="6" t="n">
        <v>2</v>
      </c>
      <c r="G105" s="6" t="n">
        <v>2</v>
      </c>
      <c r="H105" s="6" t="n">
        <v>1</v>
      </c>
      <c r="I105" s="22" t="n">
        <v>2</v>
      </c>
      <c r="J105" s="23" t="inlineStr">
        <is>
          <t>拦截、回潮</t>
        </is>
      </c>
      <c r="K105" s="23" t="inlineStr">
        <is>
          <t>拦截。回潮。</t>
        </is>
      </c>
      <c r="L105" s="23" t="n"/>
      <c r="M105" s="8" t="n">
        <v>2</v>
      </c>
      <c r="N105" s="8" t="n">
        <v>2</v>
      </c>
      <c r="O105" s="8" t="n">
        <v>1</v>
      </c>
      <c r="P105" s="24">
        <f>IF(OR(F105&lt;&gt;M105,IF(AND(G105="",N105=""),FALSE,G105&lt;&gt;N105),IF(AND(H105="",O105=""),FALSE,H105&lt;&gt;O105)),"已改","")</f>
        <v/>
      </c>
      <c r="Q105" s="24" t="inlineStr">
        <is>
          <t>可组</t>
        </is>
      </c>
      <c r="R105" s="23" t="n"/>
    </row>
    <row r="106" ht="28" customHeight="1">
      <c r="A106" s="22" t="inlineStr">
        <is>
          <t>line_spearman</t>
        </is>
      </c>
      <c r="B106" s="22" t="inlineStr">
        <is>
          <t>列阵枪兵</t>
        </is>
      </c>
      <c r="C106" s="22" t="inlineStr">
        <is>
          <t>共和国</t>
        </is>
      </c>
      <c r="D106" s="22" t="inlineStr">
        <is>
          <t>随从</t>
        </is>
      </c>
      <c r="E106" s="22" t="inlineStr">
        <is>
          <t>普通</t>
        </is>
      </c>
      <c r="F106" s="6" t="n">
        <v>2</v>
      </c>
      <c r="G106" s="6" t="n">
        <v>1</v>
      </c>
      <c r="H106" s="6" t="n">
        <v>2</v>
      </c>
      <c r="I106" s="22" t="n">
        <v>2</v>
      </c>
      <c r="J106" s="23" t="inlineStr">
        <is>
          <t>拦截、余响</t>
        </is>
      </c>
      <c r="K106" s="23" t="inlineStr">
        <is>
          <t>拦截。余响：召唤一个 1/1 的共和国新兵。</t>
        </is>
      </c>
      <c r="L106" s="23" t="inlineStr">
        <is>
          <t>deathrattle:summon</t>
        </is>
      </c>
      <c r="M106" s="8" t="n">
        <v>2</v>
      </c>
      <c r="N106" s="8" t="n">
        <v>1</v>
      </c>
      <c r="O106" s="8" t="n">
        <v>2</v>
      </c>
      <c r="P106" s="24">
        <f>IF(OR(F106&lt;&gt;M106,IF(AND(G106="",N106=""),FALSE,G106&lt;&gt;N106),IF(AND(H106="",O106=""),FALSE,H106&lt;&gt;O106)),"已改","")</f>
        <v/>
      </c>
      <c r="Q106" s="24" t="inlineStr">
        <is>
          <t>可组</t>
        </is>
      </c>
      <c r="R106" s="23" t="n"/>
    </row>
    <row r="107" ht="28" customHeight="1">
      <c r="A107" s="22" t="inlineStr">
        <is>
          <t>elena</t>
        </is>
      </c>
      <c r="B107" s="22" t="inlineStr">
        <is>
          <t>伊莲娜·索菲</t>
        </is>
      </c>
      <c r="C107" s="22" t="inlineStr">
        <is>
          <t>共和国</t>
        </is>
      </c>
      <c r="D107" s="22" t="inlineStr">
        <is>
          <t>随从</t>
        </is>
      </c>
      <c r="E107" s="22" t="inlineStr">
        <is>
          <t>传说</t>
        </is>
      </c>
      <c r="F107" s="6" t="n">
        <v>3</v>
      </c>
      <c r="G107" s="6" t="n">
        <v>3</v>
      </c>
      <c r="H107" s="6" t="n">
        <v>3</v>
      </c>
      <c r="I107" s="22" t="n">
        <v>1</v>
      </c>
      <c r="J107" s="23" t="inlineStr">
        <is>
          <t>登场</t>
        </is>
      </c>
      <c r="K107" s="23" t="inlineStr">
        <is>
          <t>登场：若该随从对位有敌方随从，召唤一个 1/1 的共和国新兵。</t>
        </is>
      </c>
      <c r="L107" s="23" t="inlineStr">
        <is>
          <t>battlecry:mirrorSummon</t>
        </is>
      </c>
      <c r="M107" s="8" t="n">
        <v>3</v>
      </c>
      <c r="N107" s="8" t="n">
        <v>3</v>
      </c>
      <c r="O107" s="8" t="n">
        <v>3</v>
      </c>
      <c r="P107" s="24">
        <f>IF(OR(F107&lt;&gt;M107,IF(AND(G107="",N107=""),FALSE,G107&lt;&gt;N107),IF(AND(H107="",O107=""),FALSE,H107&lt;&gt;O107)),"已改","")</f>
        <v/>
      </c>
      <c r="Q107" s="24" t="inlineStr">
        <is>
          <t>可组</t>
        </is>
      </c>
      <c r="R107" s="23" t="n"/>
    </row>
    <row r="108" ht="28" customHeight="1">
      <c r="A108" s="22" t="inlineStr">
        <is>
          <t>shield_bearer</t>
        </is>
      </c>
      <c r="B108" s="22" t="inlineStr">
        <is>
          <t>持盾侍从</t>
        </is>
      </c>
      <c r="C108" s="22" t="inlineStr">
        <is>
          <t>共和国</t>
        </is>
      </c>
      <c r="D108" s="22" t="inlineStr">
        <is>
          <t>随从</t>
        </is>
      </c>
      <c r="E108" s="22" t="inlineStr">
        <is>
          <t>普通</t>
        </is>
      </c>
      <c r="F108" s="6" t="n">
        <v>3</v>
      </c>
      <c r="G108" s="6" t="n">
        <v>3</v>
      </c>
      <c r="H108" s="6" t="n">
        <v>3</v>
      </c>
      <c r="I108" s="22" t="n">
        <v>2</v>
      </c>
      <c r="J108" s="23" t="inlineStr">
        <is>
          <t>登场</t>
        </is>
      </c>
      <c r="K108" s="23" t="inlineStr">
        <is>
          <t>若本回合已打出过其他牌，则本回合你每打出一个友方拦截随从，获得 +0/+1。</t>
        </is>
      </c>
      <c r="L108" s="23" t="inlineStr">
        <is>
          <t>battlecry:comboTauntGrowth</t>
        </is>
      </c>
      <c r="M108" s="8" t="n">
        <v>3</v>
      </c>
      <c r="N108" s="8" t="n">
        <v>3</v>
      </c>
      <c r="O108" s="8" t="n">
        <v>3</v>
      </c>
      <c r="P108" s="24">
        <f>IF(OR(F108&lt;&gt;M108,IF(AND(G108="",N108=""),FALSE,G108&lt;&gt;N108),IF(AND(H108="",O108=""),FALSE,H108&lt;&gt;O108)),"已改","")</f>
        <v/>
      </c>
      <c r="Q108" s="24" t="inlineStr">
        <is>
          <t>可组</t>
        </is>
      </c>
      <c r="R108" s="23" t="n"/>
    </row>
    <row r="109" ht="28" customHeight="1">
      <c r="A109" s="22" t="inlineStr">
        <is>
          <t>reborn_sentry</t>
        </is>
      </c>
      <c r="B109" s="22" t="inlineStr">
        <is>
          <t>回潮哨卫</t>
        </is>
      </c>
      <c r="C109" s="22" t="inlineStr">
        <is>
          <t>共和国</t>
        </is>
      </c>
      <c r="D109" s="22" t="inlineStr">
        <is>
          <t>随从</t>
        </is>
      </c>
      <c r="E109" s="22" t="inlineStr">
        <is>
          <t>稀有</t>
        </is>
      </c>
      <c r="F109" s="6" t="n">
        <v>3</v>
      </c>
      <c r="G109" s="6" t="n">
        <v>2</v>
      </c>
      <c r="H109" s="6" t="n">
        <v>3</v>
      </c>
      <c r="I109" s="22" t="n">
        <v>2</v>
      </c>
      <c r="J109" s="23" t="inlineStr">
        <is>
          <t>回潮</t>
        </is>
      </c>
      <c r="K109" s="23" t="inlineStr">
        <is>
          <t>回潮。该随从对位有敌方随从时，本随从固定获得 +1/+0。</t>
        </is>
      </c>
      <c r="L109" s="23" t="inlineStr">
        <is>
          <t>mirrorBonus:object</t>
        </is>
      </c>
      <c r="M109" s="8" t="n">
        <v>3</v>
      </c>
      <c r="N109" s="8" t="n">
        <v>2</v>
      </c>
      <c r="O109" s="8" t="n">
        <v>3</v>
      </c>
      <c r="P109" s="24">
        <f>IF(OR(F109&lt;&gt;M109,IF(AND(G109="",N109=""),FALSE,G109&lt;&gt;N109),IF(AND(H109="",O109=""),FALSE,H109&lt;&gt;O109)),"已改","")</f>
        <v/>
      </c>
      <c r="Q109" s="24" t="inlineStr">
        <is>
          <t>可组</t>
        </is>
      </c>
      <c r="R109" s="23" t="n"/>
    </row>
    <row r="110" ht="28" customHeight="1">
      <c r="A110" s="22" t="inlineStr">
        <is>
          <t>konrad</t>
        </is>
      </c>
      <c r="B110" s="22" t="inlineStr">
        <is>
          <t>康拉德·威廉莱斯</t>
        </is>
      </c>
      <c r="C110" s="22" t="inlineStr">
        <is>
          <t>共和国</t>
        </is>
      </c>
      <c r="D110" s="22" t="inlineStr">
        <is>
          <t>随从</t>
        </is>
      </c>
      <c r="E110" s="22" t="inlineStr">
        <is>
          <t>传说</t>
        </is>
      </c>
      <c r="F110" s="6" t="n">
        <v>4</v>
      </c>
      <c r="G110" s="6" t="n">
        <v>4</v>
      </c>
      <c r="H110" s="6" t="n">
        <v>3</v>
      </c>
      <c r="I110" s="22" t="n">
        <v>1</v>
      </c>
      <c r="J110" s="23" t="inlineStr">
        <is>
          <t>登场</t>
        </is>
      </c>
      <c r="K110" s="23" t="inlineStr">
        <is>
          <t>登场：使所有友方随从获得余响：对随机一个敌方随从造成 1 点伤害。</t>
        </is>
      </c>
      <c r="L110" s="23" t="inlineStr">
        <is>
          <t>battlecry:grantDeathrattleDamageAll</t>
        </is>
      </c>
      <c r="M110" s="8" t="n">
        <v>4</v>
      </c>
      <c r="N110" s="8" t="n">
        <v>4</v>
      </c>
      <c r="O110" s="8" t="n">
        <v>3</v>
      </c>
      <c r="P110" s="24">
        <f>IF(OR(F110&lt;&gt;M110,IF(AND(G110="",N110=""),FALSE,G110&lt;&gt;N110),IF(AND(H110="",O110=""),FALSE,H110&lt;&gt;O110)),"已改","")</f>
        <v/>
      </c>
      <c r="Q110" s="24" t="inlineStr">
        <is>
          <t>可组</t>
        </is>
      </c>
      <c r="R110" s="23" t="n"/>
    </row>
    <row r="111" ht="28" customHeight="1">
      <c r="A111" s="22" t="inlineStr">
        <is>
          <t>erhardt</t>
        </is>
      </c>
      <c r="B111" s="22" t="inlineStr">
        <is>
          <t>埃尔哈特·冯·罗森</t>
        </is>
      </c>
      <c r="C111" s="22" t="inlineStr">
        <is>
          <t>共和国</t>
        </is>
      </c>
      <c r="D111" s="22" t="inlineStr">
        <is>
          <t>随从</t>
        </is>
      </c>
      <c r="E111" s="22" t="inlineStr">
        <is>
          <t>传说</t>
        </is>
      </c>
      <c r="F111" s="6" t="n">
        <v>4</v>
      </c>
      <c r="G111" s="6" t="n">
        <v>3</v>
      </c>
      <c r="H111" s="6" t="n">
        <v>2</v>
      </c>
      <c r="I111" s="22" t="n">
        <v>1</v>
      </c>
      <c r="J111" s="23" t="inlineStr">
        <is>
          <t>突进、回潮、登场</t>
        </is>
      </c>
      <c r="K111" s="23" t="inlineStr">
        <is>
          <t>突进。回潮。登场：若本回合已打出过其他牌，则本回合每有一个随从死亡，获得 +1/+1。</t>
        </is>
      </c>
      <c r="L111" s="23" t="inlineStr">
        <is>
          <t>battlecry:comboDeathGrowth</t>
        </is>
      </c>
      <c r="M111" s="8" t="n">
        <v>4</v>
      </c>
      <c r="N111" s="8" t="n">
        <v>3</v>
      </c>
      <c r="O111" s="8" t="n">
        <v>2</v>
      </c>
      <c r="P111" s="24">
        <f>IF(OR(F111&lt;&gt;M111,IF(AND(G111="",N111=""),FALSE,G111&lt;&gt;N111),IF(AND(H111="",O111=""),FALSE,H111&lt;&gt;O111)),"已改","")</f>
        <v/>
      </c>
      <c r="Q111" s="24" t="inlineStr">
        <is>
          <t>可组</t>
        </is>
      </c>
      <c r="R111" s="23" t="n"/>
    </row>
    <row r="112" ht="28" customHeight="1">
      <c r="A112" s="22" t="inlineStr">
        <is>
          <t>beatrix</t>
        </is>
      </c>
      <c r="B112" s="22" t="inlineStr">
        <is>
          <t>贝娅特丽克丝·冯·艾森胡特</t>
        </is>
      </c>
      <c r="C112" s="22" t="inlineStr">
        <is>
          <t>共和国</t>
        </is>
      </c>
      <c r="D112" s="22" t="inlineStr">
        <is>
          <t>随从</t>
        </is>
      </c>
      <c r="E112" s="22" t="inlineStr">
        <is>
          <t>传说</t>
        </is>
      </c>
      <c r="F112" s="6" t="n">
        <v>4</v>
      </c>
      <c r="G112" s="6" t="n">
        <v>4</v>
      </c>
      <c r="H112" s="6" t="n">
        <v>4</v>
      </c>
      <c r="I112" s="22" t="n">
        <v>1</v>
      </c>
      <c r="J112" s="23" t="inlineStr">
        <is>
          <t>登场</t>
        </is>
      </c>
      <c r="K112" s="23" t="inlineStr">
        <is>
          <t>登场：使一个友方随从获得回潮。</t>
        </is>
      </c>
      <c r="L112" s="23" t="inlineStr">
        <is>
          <t>battlecry:grantReborn</t>
        </is>
      </c>
      <c r="M112" s="8" t="n">
        <v>4</v>
      </c>
      <c r="N112" s="8" t="n">
        <v>4</v>
      </c>
      <c r="O112" s="8" t="n">
        <v>4</v>
      </c>
      <c r="P112" s="24">
        <f>IF(OR(F112&lt;&gt;M112,IF(AND(G112="",N112=""),FALSE,G112&lt;&gt;N112),IF(AND(H112="",O112=""),FALSE,H112&lt;&gt;O112)),"已改","")</f>
        <v/>
      </c>
      <c r="Q112" s="24" t="inlineStr">
        <is>
          <t>可组</t>
        </is>
      </c>
      <c r="R112" s="23" t="n"/>
    </row>
    <row r="113" ht="28" customHeight="1">
      <c r="A113" s="22" t="inlineStr">
        <is>
          <t>zone_banner</t>
        </is>
      </c>
      <c r="B113" s="22" t="inlineStr">
        <is>
          <t>阵线旗手</t>
        </is>
      </c>
      <c r="C113" s="22" t="inlineStr">
        <is>
          <t>共和国</t>
        </is>
      </c>
      <c r="D113" s="22" t="inlineStr">
        <is>
          <t>随从</t>
        </is>
      </c>
      <c r="E113" s="22" t="inlineStr">
        <is>
          <t>史诗</t>
        </is>
      </c>
      <c r="F113" s="6" t="n">
        <v>4</v>
      </c>
      <c r="G113" s="6" t="n">
        <v>3</v>
      </c>
      <c r="H113" s="6" t="n">
        <v>4</v>
      </c>
      <c r="I113" s="22" t="n">
        <v>2</v>
      </c>
      <c r="J113" s="23" t="inlineStr">
        <is>
          <t>拦截、登场</t>
        </is>
      </c>
      <c r="K113" s="23" t="inlineStr">
        <is>
          <t>拦截。登场：同阵位所有具有拦截的友方随从获得 +0/+1。</t>
        </is>
      </c>
      <c r="L113" s="23" t="inlineStr">
        <is>
          <t>battlecry:buffTauntZone</t>
        </is>
      </c>
      <c r="M113" s="8" t="n">
        <v>4</v>
      </c>
      <c r="N113" s="8" t="n">
        <v>3</v>
      </c>
      <c r="O113" s="8" t="n">
        <v>4</v>
      </c>
      <c r="P113" s="24">
        <f>IF(OR(F113&lt;&gt;M113,IF(AND(G113="",N113=""),FALSE,G113&lt;&gt;N113),IF(AND(H113="",O113=""),FALSE,H113&lt;&gt;O113)),"已改","")</f>
        <v/>
      </c>
      <c r="Q113" s="24" t="inlineStr">
        <is>
          <t>可组</t>
        </is>
      </c>
      <c r="R113" s="23" t="n"/>
    </row>
    <row r="114" ht="28" customHeight="1">
      <c r="A114" s="22" t="inlineStr">
        <is>
          <t>shield_sergeant</t>
        </is>
      </c>
      <c r="B114" s="22" t="inlineStr">
        <is>
          <t>盾墙军士</t>
        </is>
      </c>
      <c r="C114" s="22" t="inlineStr">
        <is>
          <t>共和国</t>
        </is>
      </c>
      <c r="D114" s="22" t="inlineStr">
        <is>
          <t>随从</t>
        </is>
      </c>
      <c r="E114" s="22" t="inlineStr">
        <is>
          <t>史诗</t>
        </is>
      </c>
      <c r="F114" s="6" t="n">
        <v>4</v>
      </c>
      <c r="G114" s="6" t="n">
        <v>3</v>
      </c>
      <c r="H114" s="6" t="n">
        <v>4</v>
      </c>
      <c r="I114" s="22" t="n">
        <v>2</v>
      </c>
      <c r="J114" s="23" t="inlineStr">
        <is>
          <t>拦截、余响</t>
        </is>
      </c>
      <c r="K114" s="23" t="inlineStr">
        <is>
          <t>拦截。余响：所有友方拦截随从获得 +0/+1。</t>
        </is>
      </c>
      <c r="L114" s="23" t="inlineStr">
        <is>
          <t>deathrattle:buffAllTaunt</t>
        </is>
      </c>
      <c r="M114" s="8" t="n">
        <v>4</v>
      </c>
      <c r="N114" s="8" t="n">
        <v>3</v>
      </c>
      <c r="O114" s="8" t="n">
        <v>4</v>
      </c>
      <c r="P114" s="24">
        <f>IF(OR(F114&lt;&gt;M114,IF(AND(G114="",N114=""),FALSE,G114&lt;&gt;N114),IF(AND(H114="",O114=""),FALSE,H114&lt;&gt;O114)),"已改","")</f>
        <v/>
      </c>
      <c r="Q114" s="24" t="inlineStr">
        <is>
          <t>可组</t>
        </is>
      </c>
      <c r="R114" s="23" t="n"/>
    </row>
    <row r="115" ht="28" customHeight="1">
      <c r="A115" s="22" t="inlineStr">
        <is>
          <t>phalanx_warden</t>
        </is>
      </c>
      <c r="B115" s="22" t="inlineStr">
        <is>
          <t>方阵守望</t>
        </is>
      </c>
      <c r="C115" s="22" t="inlineStr">
        <is>
          <t>共和国</t>
        </is>
      </c>
      <c r="D115" s="22" t="inlineStr">
        <is>
          <t>随从</t>
        </is>
      </c>
      <c r="E115" s="22" t="inlineStr">
        <is>
          <t>史诗</t>
        </is>
      </c>
      <c r="F115" s="6" t="n">
        <v>4</v>
      </c>
      <c r="G115" s="6" t="n">
        <v>3</v>
      </c>
      <c r="H115" s="6" t="n">
        <v>3</v>
      </c>
      <c r="I115" s="22" t="n">
        <v>2</v>
      </c>
      <c r="J115" s="23" t="inlineStr">
        <is>
          <t>拦截、余响</t>
        </is>
      </c>
      <c r="K115" s="23" t="inlineStr">
        <is>
          <t>拦截。余响：所有友方随从获得 +0/+1。</t>
        </is>
      </c>
      <c r="L115" s="23" t="inlineStr">
        <is>
          <t>deathrattle:buffAllAllies</t>
        </is>
      </c>
      <c r="M115" s="8" t="n">
        <v>4</v>
      </c>
      <c r="N115" s="8" t="n">
        <v>3</v>
      </c>
      <c r="O115" s="8" t="n">
        <v>3</v>
      </c>
      <c r="P115" s="24">
        <f>IF(OR(F115&lt;&gt;M115,IF(AND(G115="",N115=""),FALSE,G115&lt;&gt;N115),IF(AND(H115="",O115=""),FALSE,H115&lt;&gt;O115)),"已改","")</f>
        <v/>
      </c>
      <c r="Q115" s="24" t="inlineStr">
        <is>
          <t>可组</t>
        </is>
      </c>
      <c r="R115" s="23" t="n"/>
    </row>
    <row r="116" ht="28" customHeight="1">
      <c r="A116" s="22" t="inlineStr">
        <is>
          <t>phalanx_executor</t>
        </is>
      </c>
      <c r="B116" s="22" t="inlineStr">
        <is>
          <t>方阵执行官</t>
        </is>
      </c>
      <c r="C116" s="22" t="inlineStr">
        <is>
          <t>共和国</t>
        </is>
      </c>
      <c r="D116" s="22" t="inlineStr">
        <is>
          <t>随从</t>
        </is>
      </c>
      <c r="E116" s="22" t="inlineStr">
        <is>
          <t>史诗</t>
        </is>
      </c>
      <c r="F116" s="6" t="n">
        <v>4</v>
      </c>
      <c r="G116" s="6" t="n">
        <v>2</v>
      </c>
      <c r="H116" s="6" t="n">
        <v>4</v>
      </c>
      <c r="I116" s="22" t="n">
        <v>2</v>
      </c>
      <c r="J116" s="23" t="inlineStr">
        <is>
          <t>被动</t>
        </is>
      </c>
      <c r="K116" s="23" t="inlineStr">
        <is>
          <t>被动：每当另一个友方拦截随从死亡，抽 1 张牌。</t>
        </is>
      </c>
      <c r="L116" s="23" t="inlineStr">
        <is>
          <t>passive:tauntDeathDraw</t>
        </is>
      </c>
      <c r="M116" s="8" t="n">
        <v>4</v>
      </c>
      <c r="N116" s="8" t="n">
        <v>2</v>
      </c>
      <c r="O116" s="8" t="n">
        <v>4</v>
      </c>
      <c r="P116" s="24">
        <f>IF(OR(F116&lt;&gt;M116,IF(AND(G116="",N116=""),FALSE,G116&lt;&gt;N116),IF(AND(H116="",O116=""),FALSE,H116&lt;&gt;O116)),"已改","")</f>
        <v/>
      </c>
      <c r="Q116" s="24" t="inlineStr">
        <is>
          <t>可组</t>
        </is>
      </c>
      <c r="R116" s="23" t="n"/>
    </row>
    <row r="117" ht="28" customHeight="1">
      <c r="A117" s="22" t="inlineStr">
        <is>
          <t>cedric</t>
        </is>
      </c>
      <c r="B117" s="22" t="inlineStr">
        <is>
          <t>塞德里克·威廉莱斯</t>
        </is>
      </c>
      <c r="C117" s="22" t="inlineStr">
        <is>
          <t>共和国</t>
        </is>
      </c>
      <c r="D117" s="22" t="inlineStr">
        <is>
          <t>随从</t>
        </is>
      </c>
      <c r="E117" s="22" t="inlineStr">
        <is>
          <t>传说</t>
        </is>
      </c>
      <c r="F117" s="6" t="n">
        <v>5</v>
      </c>
      <c r="G117" s="6" t="n">
        <v>4</v>
      </c>
      <c r="H117" s="6" t="n">
        <v>4</v>
      </c>
      <c r="I117" s="22" t="n">
        <v>1</v>
      </c>
      <c r="J117" s="23" t="inlineStr">
        <is>
          <t>拦截</t>
        </is>
      </c>
      <c r="K117" s="23" t="inlineStr">
        <is>
          <t>拦截。引脉 6：恢复你的领袖 8 点生命。</t>
        </is>
      </c>
      <c r="L117" s="23" t="inlineStr">
        <is>
          <t>veinBonus:object</t>
        </is>
      </c>
      <c r="M117" s="8" t="n">
        <v>5</v>
      </c>
      <c r="N117" s="8" t="n">
        <v>4</v>
      </c>
      <c r="O117" s="8" t="n">
        <v>4</v>
      </c>
      <c r="P117" s="24">
        <f>IF(OR(F117&lt;&gt;M117,IF(AND(G117="",N117=""),FALSE,G117&lt;&gt;N117),IF(AND(H117="",O117=""),FALSE,H117&lt;&gt;O117)),"已改","")</f>
        <v/>
      </c>
      <c r="Q117" s="24" t="inlineStr">
        <is>
          <t>可组</t>
        </is>
      </c>
      <c r="R117" s="23" t="n"/>
    </row>
    <row r="118" ht="28" customHeight="1">
      <c r="A118" s="22" t="inlineStr">
        <is>
          <t>aegis_guard</t>
        </is>
      </c>
      <c r="B118" s="22" t="inlineStr">
        <is>
          <t>护幕守卫</t>
        </is>
      </c>
      <c r="C118" s="22" t="inlineStr">
        <is>
          <t>共和国</t>
        </is>
      </c>
      <c r="D118" s="22" t="inlineStr">
        <is>
          <t>随从</t>
        </is>
      </c>
      <c r="E118" s="22" t="inlineStr">
        <is>
          <t>稀有</t>
        </is>
      </c>
      <c r="F118" s="6" t="n">
        <v>5</v>
      </c>
      <c r="G118" s="6" t="n">
        <v>4</v>
      </c>
      <c r="H118" s="6" t="n">
        <v>4</v>
      </c>
      <c r="I118" s="22" t="n">
        <v>2</v>
      </c>
      <c r="J118" s="23" t="inlineStr">
        <is>
          <t>护幕、拦截</t>
        </is>
      </c>
      <c r="K118" s="23" t="inlineStr">
        <is>
          <t>护幕。拦截。</t>
        </is>
      </c>
      <c r="L118" s="23" t="n"/>
      <c r="M118" s="8" t="n">
        <v>5</v>
      </c>
      <c r="N118" s="8" t="n">
        <v>4</v>
      </c>
      <c r="O118" s="8" t="n">
        <v>4</v>
      </c>
      <c r="P118" s="24">
        <f>IF(OR(F118&lt;&gt;M118,IF(AND(G118="",N118=""),FALSE,G118&lt;&gt;N118),IF(AND(H118="",O118=""),FALSE,H118&lt;&gt;O118)),"已改","")</f>
        <v/>
      </c>
      <c r="Q118" s="24" t="inlineStr">
        <is>
          <t>可组</t>
        </is>
      </c>
      <c r="R118" s="23" t="n"/>
    </row>
    <row r="119" ht="28" customHeight="1">
      <c r="A119" s="22" t="inlineStr">
        <is>
          <t>iron_phalanx</t>
        </is>
      </c>
      <c r="B119" s="22" t="inlineStr">
        <is>
          <t>铁壁方阵</t>
        </is>
      </c>
      <c r="C119" s="22" t="inlineStr">
        <is>
          <t>共和国</t>
        </is>
      </c>
      <c r="D119" s="22" t="inlineStr">
        <is>
          <t>随从</t>
        </is>
      </c>
      <c r="E119" s="22" t="inlineStr">
        <is>
          <t>稀有</t>
        </is>
      </c>
      <c r="F119" s="6" t="n">
        <v>5</v>
      </c>
      <c r="G119" s="6" t="n">
        <v>3</v>
      </c>
      <c r="H119" s="6" t="n">
        <v>4</v>
      </c>
      <c r="I119" s="22" t="n">
        <v>2</v>
      </c>
      <c r="J119" s="23" t="inlineStr">
        <is>
          <t>拦截、登场、余响</t>
        </is>
      </c>
      <c r="K119" s="23" t="inlineStr">
        <is>
          <t>拦截。登场：若本回合已打出过其他牌，本回合每使用一个随从，获得 +1/+1。余响：对敌方所有单位造成 1 点伤害。</t>
        </is>
      </c>
      <c r="L119" s="23" t="inlineStr">
        <is>
          <t>battlecry:comboMinionGrowth；deathrattle:damageAllEnemyUnits</t>
        </is>
      </c>
      <c r="M119" s="8" t="n">
        <v>5</v>
      </c>
      <c r="N119" s="8" t="n">
        <v>3</v>
      </c>
      <c r="O119" s="8" t="n">
        <v>4</v>
      </c>
      <c r="P119" s="24">
        <f>IF(OR(F119&lt;&gt;M119,IF(AND(G119="",N119=""),FALSE,G119&lt;&gt;N119),IF(AND(H119="",O119=""),FALSE,H119&lt;&gt;O119)),"已改","")</f>
        <v/>
      </c>
      <c r="Q119" s="24" t="inlineStr">
        <is>
          <t>可组</t>
        </is>
      </c>
      <c r="R119" s="23" t="n"/>
    </row>
    <row r="120" ht="28" customHeight="1">
      <c r="A120" s="22" t="inlineStr">
        <is>
          <t>bastion_captain</t>
        </is>
      </c>
      <c r="B120" s="22" t="inlineStr">
        <is>
          <t>堡垒队长</t>
        </is>
      </c>
      <c r="C120" s="22" t="inlineStr">
        <is>
          <t>共和国</t>
        </is>
      </c>
      <c r="D120" s="22" t="inlineStr">
        <is>
          <t>随从</t>
        </is>
      </c>
      <c r="E120" s="22" t="inlineStr">
        <is>
          <t>史诗</t>
        </is>
      </c>
      <c r="F120" s="6" t="n">
        <v>5</v>
      </c>
      <c r="G120" s="6" t="n">
        <v>3</v>
      </c>
      <c r="H120" s="6" t="n">
        <v>3</v>
      </c>
      <c r="I120" s="22" t="n">
        <v>2</v>
      </c>
      <c r="J120" s="23" t="n"/>
      <c r="K120" s="23" t="inlineStr">
        <is>
          <t>被动：你召唤的拦截随从获得 +0/+2。</t>
        </is>
      </c>
      <c r="L120" s="23" t="inlineStr">
        <is>
          <t>passive:tauntAura</t>
        </is>
      </c>
      <c r="M120" s="8" t="n">
        <v>5</v>
      </c>
      <c r="N120" s="8" t="n">
        <v>3</v>
      </c>
      <c r="O120" s="8" t="n">
        <v>3</v>
      </c>
      <c r="P120" s="24">
        <f>IF(OR(F120&lt;&gt;M120,IF(AND(G120="",N120=""),FALSE,G120&lt;&gt;N120),IF(AND(H120="",O120=""),FALSE,H120&lt;&gt;O120)),"已改","")</f>
        <v/>
      </c>
      <c r="Q120" s="24" t="inlineStr">
        <is>
          <t>可组</t>
        </is>
      </c>
      <c r="R120" s="23" t="n"/>
    </row>
    <row r="121" ht="28" customHeight="1">
      <c r="A121" s="22" t="inlineStr">
        <is>
          <t>shield_marshal</t>
        </is>
      </c>
      <c r="B121" s="22" t="inlineStr">
        <is>
          <t>持盾元帅</t>
        </is>
      </c>
      <c r="C121" s="22" t="inlineStr">
        <is>
          <t>共和国</t>
        </is>
      </c>
      <c r="D121" s="22" t="inlineStr">
        <is>
          <t>随从</t>
        </is>
      </c>
      <c r="E121" s="22" t="inlineStr">
        <is>
          <t>史诗</t>
        </is>
      </c>
      <c r="F121" s="6" t="n">
        <v>7</v>
      </c>
      <c r="G121" s="6" t="n">
        <v>3</v>
      </c>
      <c r="H121" s="6" t="n">
        <v>7</v>
      </c>
      <c r="I121" s="22" t="n">
        <v>2</v>
      </c>
      <c r="J121" s="23" t="inlineStr">
        <is>
          <t>拦截、回潮、登场、余响</t>
        </is>
      </c>
      <c r="K121" s="23" t="inlineStr">
        <is>
          <t>拦截。回潮。余响：召唤两个 1/1 的共和国新兵。若本回合已打出过其他牌，则本回合你每召唤一个共和国新兵，获得 +1/+1。</t>
        </is>
      </c>
      <c r="L121" s="23" t="inlineStr">
        <is>
          <t>battlecry:shieldMarshal；deathrattle:summon</t>
        </is>
      </c>
      <c r="M121" s="8" t="n">
        <v>7</v>
      </c>
      <c r="N121" s="8" t="n">
        <v>3</v>
      </c>
      <c r="O121" s="8" t="n">
        <v>7</v>
      </c>
      <c r="P121" s="24">
        <f>IF(OR(F121&lt;&gt;M121,IF(AND(G121="",N121=""),FALSE,G121&lt;&gt;N121),IF(AND(H121="",O121=""),FALSE,H121&lt;&gt;O121)),"已改","")</f>
        <v/>
      </c>
      <c r="Q121" s="24" t="inlineStr">
        <is>
          <t>可组</t>
        </is>
      </c>
      <c r="R121" s="23" t="n"/>
    </row>
    <row r="122" ht="28" customHeight="1">
      <c r="A122" s="22" t="inlineStr">
        <is>
          <t>fortify</t>
        </is>
      </c>
      <c r="B122" s="22" t="inlineStr">
        <is>
          <t>筑防令</t>
        </is>
      </c>
      <c r="C122" s="22" t="inlineStr">
        <is>
          <t>共和国</t>
        </is>
      </c>
      <c r="D122" s="22" t="inlineStr">
        <is>
          <t>战术</t>
        </is>
      </c>
      <c r="E122" s="22" t="inlineStr">
        <is>
          <t>普通</t>
        </is>
      </c>
      <c r="F122" s="6" t="n">
        <v>1</v>
      </c>
      <c r="G122" s="6" t="n"/>
      <c r="H122" s="6" t="n"/>
      <c r="I122" s="22" t="n">
        <v>2</v>
      </c>
      <c r="J122" s="23" t="n"/>
      <c r="K122" s="23" t="inlineStr">
        <is>
          <t>使一个友方随从获得余响：对随机一个敌方随从造成 2 点伤害。</t>
        </is>
      </c>
      <c r="L122" s="23" t="inlineStr">
        <is>
          <t>spell:grantDeathrattleDamage</t>
        </is>
      </c>
      <c r="M122" s="8" t="n">
        <v>1</v>
      </c>
      <c r="N122" s="8" t="n"/>
      <c r="O122" s="8" t="n"/>
      <c r="P122" s="24">
        <f>IF(OR(F122&lt;&gt;M122,IF(AND(G122="",N122=""),FALSE,G122&lt;&gt;N122),IF(AND(H122="",O122=""),FALSE,H122&lt;&gt;O122)),"已改","")</f>
        <v/>
      </c>
      <c r="Q122" s="24" t="inlineStr">
        <is>
          <t>可组</t>
        </is>
      </c>
      <c r="R122" s="23" t="n"/>
    </row>
    <row r="123" ht="28" customHeight="1">
      <c r="A123" s="22" t="inlineStr">
        <is>
          <t>volley</t>
        </is>
      </c>
      <c r="B123" s="22" t="inlineStr">
        <is>
          <t>排枪齐射</t>
        </is>
      </c>
      <c r="C123" s="22" t="inlineStr">
        <is>
          <t>共和国</t>
        </is>
      </c>
      <c r="D123" s="22" t="inlineStr">
        <is>
          <t>战术</t>
        </is>
      </c>
      <c r="E123" s="22" t="inlineStr">
        <is>
          <t>普通</t>
        </is>
      </c>
      <c r="F123" s="6" t="n">
        <v>1</v>
      </c>
      <c r="G123" s="6" t="n"/>
      <c r="H123" s="6" t="n"/>
      <c r="I123" s="22" t="n">
        <v>2</v>
      </c>
      <c r="J123" s="23" t="n"/>
      <c r="K123" s="23" t="inlineStr">
        <is>
          <t>对一个敌方随从造成 2 点伤害。</t>
        </is>
      </c>
      <c r="L123" s="23" t="inlineStr">
        <is>
          <t>spell:damage</t>
        </is>
      </c>
      <c r="M123" s="8" t="n">
        <v>1</v>
      </c>
      <c r="N123" s="8" t="n"/>
      <c r="O123" s="8" t="n"/>
      <c r="P123" s="24">
        <f>IF(OR(F123&lt;&gt;M123,IF(AND(G123="",N123=""),FALSE,G123&lt;&gt;N123),IF(AND(H123="",O123=""),FALSE,H123&lt;&gt;O123)),"已改","")</f>
        <v/>
      </c>
      <c r="Q123" s="24" t="inlineStr">
        <is>
          <t>可组</t>
        </is>
      </c>
      <c r="R123" s="23" t="n"/>
    </row>
    <row r="124" ht="28" customHeight="1">
      <c r="A124" s="22" t="inlineStr">
        <is>
          <t>line_rotation</t>
        </is>
      </c>
      <c r="B124" s="22" t="inlineStr">
        <is>
          <t>阵线轮换</t>
        </is>
      </c>
      <c r="C124" s="22" t="inlineStr">
        <is>
          <t>共和国</t>
        </is>
      </c>
      <c r="D124" s="22" t="inlineStr">
        <is>
          <t>战术</t>
        </is>
      </c>
      <c r="E124" s="22" t="inlineStr">
        <is>
          <t>普通</t>
        </is>
      </c>
      <c r="F124" s="6" t="n">
        <v>1</v>
      </c>
      <c r="G124" s="6" t="n"/>
      <c r="H124" s="6" t="n"/>
      <c r="I124" s="22" t="n">
        <v>2</v>
      </c>
      <c r="J124" s="23" t="n"/>
      <c r="K124" s="23" t="inlineStr">
        <is>
          <t>使一个友方随从获得拦截。</t>
        </is>
      </c>
      <c r="L124" s="23" t="inlineStr">
        <is>
          <t>spell:buffTaunt</t>
        </is>
      </c>
      <c r="M124" s="8" t="n">
        <v>1</v>
      </c>
      <c r="N124" s="8" t="n"/>
      <c r="O124" s="8" t="n"/>
      <c r="P124" s="24">
        <f>IF(OR(F124&lt;&gt;M124,IF(AND(G124="",N124=""),FALSE,G124&lt;&gt;N124),IF(AND(H124="",O124=""),FALSE,H124&lt;&gt;O124)),"已改","")</f>
        <v/>
      </c>
      <c r="Q124" s="24" t="inlineStr">
        <is>
          <t>可组</t>
        </is>
      </c>
      <c r="R124" s="23" t="n"/>
    </row>
    <row r="125" ht="28" customHeight="1">
      <c r="A125" s="22" t="inlineStr">
        <is>
          <t>levy</t>
        </is>
      </c>
      <c r="B125" s="22" t="inlineStr">
        <is>
          <t>征募令</t>
        </is>
      </c>
      <c r="C125" s="22" t="inlineStr">
        <is>
          <t>共和国</t>
        </is>
      </c>
      <c r="D125" s="22" t="inlineStr">
        <is>
          <t>战术</t>
        </is>
      </c>
      <c r="E125" s="22" t="inlineStr">
        <is>
          <t>普通</t>
        </is>
      </c>
      <c r="F125" s="6" t="n">
        <v>2</v>
      </c>
      <c r="G125" s="6" t="n"/>
      <c r="H125" s="6" t="n"/>
      <c r="I125" s="22" t="n">
        <v>2</v>
      </c>
      <c r="J125" s="23" t="n"/>
      <c r="K125" s="23" t="inlineStr">
        <is>
          <t>下回合开始时获得 3 点行动力。</t>
        </is>
      </c>
      <c r="L125" s="23" t="inlineStr">
        <is>
          <t>spell:nextTurnMana</t>
        </is>
      </c>
      <c r="M125" s="8" t="n">
        <v>2</v>
      </c>
      <c r="N125" s="8" t="n"/>
      <c r="O125" s="8" t="n"/>
      <c r="P125" s="24">
        <f>IF(OR(F125&lt;&gt;M125,IF(AND(G125="",N125=""),FALSE,G125&lt;&gt;N125),IF(AND(H125="",O125=""),FALSE,H125&lt;&gt;O125)),"已改","")</f>
        <v/>
      </c>
      <c r="Q125" s="24" t="inlineStr">
        <is>
          <t>可组</t>
        </is>
      </c>
      <c r="R125" s="23" t="n"/>
    </row>
    <row r="126" ht="28" customHeight="1">
      <c r="A126" s="22" t="inlineStr">
        <is>
          <t>iron_wall</t>
        </is>
      </c>
      <c r="B126" s="22" t="inlineStr">
        <is>
          <t>铁壁令</t>
        </is>
      </c>
      <c r="C126" s="22" t="inlineStr">
        <is>
          <t>共和国</t>
        </is>
      </c>
      <c r="D126" s="22" t="inlineStr">
        <is>
          <t>战术</t>
        </is>
      </c>
      <c r="E126" s="22" t="inlineStr">
        <is>
          <t>史诗</t>
        </is>
      </c>
      <c r="F126" s="6" t="n">
        <v>2</v>
      </c>
      <c r="G126" s="6" t="n"/>
      <c r="H126" s="6" t="n"/>
      <c r="I126" s="22" t="n">
        <v>2</v>
      </c>
      <c r="J126" s="23" t="n"/>
      <c r="K126" s="23" t="inlineStr">
        <is>
          <t>所有友方拦截随从获得 +0/+2。</t>
        </is>
      </c>
      <c r="L126" s="23" t="inlineStr">
        <is>
          <t>spell:buffAllTaunt</t>
        </is>
      </c>
      <c r="M126" s="8" t="n">
        <v>2</v>
      </c>
      <c r="N126" s="8" t="n"/>
      <c r="O126" s="8" t="n"/>
      <c r="P126" s="24">
        <f>IF(OR(F126&lt;&gt;M126,IF(AND(G126="",N126=""),FALSE,G126&lt;&gt;N126),IF(AND(H126="",O126=""),FALSE,H126&lt;&gt;O126)),"已改","")</f>
        <v/>
      </c>
      <c r="Q126" s="24" t="inlineStr">
        <is>
          <t>可组</t>
        </is>
      </c>
      <c r="R126" s="23" t="n"/>
    </row>
    <row r="127" ht="28" customHeight="1">
      <c r="A127" s="22" t="inlineStr">
        <is>
          <t>anti_rush</t>
        </is>
      </c>
      <c r="B127" s="22" t="inlineStr">
        <is>
          <t>反炮击工事</t>
        </is>
      </c>
      <c r="C127" s="22" t="inlineStr">
        <is>
          <t>共和国</t>
        </is>
      </c>
      <c r="D127" s="22" t="inlineStr">
        <is>
          <t>战术</t>
        </is>
      </c>
      <c r="E127" s="22" t="inlineStr">
        <is>
          <t>稀有</t>
        </is>
      </c>
      <c r="F127" s="6" t="n">
        <v>2</v>
      </c>
      <c r="G127" s="6" t="n"/>
      <c r="H127" s="6" t="n"/>
      <c r="I127" s="22" t="n">
        <v>2</v>
      </c>
      <c r="J127" s="23" t="n"/>
      <c r="K127" s="23" t="inlineStr">
        <is>
          <t>抽 1 张牌；若敌方场上没有随从，再抽 1 张牌。</t>
        </is>
      </c>
      <c r="L127" s="23" t="inlineStr">
        <is>
          <t>spell:drawIfEnemyNoMinions</t>
        </is>
      </c>
      <c r="M127" s="8" t="n">
        <v>2</v>
      </c>
      <c r="N127" s="8" t="n"/>
      <c r="O127" s="8" t="n"/>
      <c r="P127" s="24">
        <f>IF(OR(F127&lt;&gt;M127,IF(AND(G127="",N127=""),FALSE,G127&lt;&gt;N127),IF(AND(H127="",O127=""),FALSE,H127&lt;&gt;O127)),"已改","")</f>
        <v/>
      </c>
      <c r="Q127" s="24" t="inlineStr">
        <is>
          <t>可组</t>
        </is>
      </c>
      <c r="R127" s="23" t="n"/>
    </row>
    <row r="128" ht="28" customHeight="1">
      <c r="A128" s="22" t="inlineStr">
        <is>
          <t>emergency_bill</t>
        </is>
      </c>
      <c r="B128" s="22" t="inlineStr">
        <is>
          <t>紧急法案</t>
        </is>
      </c>
      <c r="C128" s="22" t="inlineStr">
        <is>
          <t>共和国</t>
        </is>
      </c>
      <c r="D128" s="22" t="inlineStr">
        <is>
          <t>战术</t>
        </is>
      </c>
      <c r="E128" s="22" t="inlineStr">
        <is>
          <t>稀有</t>
        </is>
      </c>
      <c r="F128" s="6" t="n">
        <v>2</v>
      </c>
      <c r="G128" s="6" t="n"/>
      <c r="H128" s="6" t="n"/>
      <c r="I128" s="22" t="n">
        <v>2</v>
      </c>
      <c r="J128" s="23" t="n"/>
      <c r="K128" s="23" t="inlineStr">
        <is>
          <t>冻结一个敌方随从；使一个友方随从获得回潮。</t>
        </is>
      </c>
      <c r="L128" s="23" t="inlineStr">
        <is>
          <t>spell:freezeGrantReborn</t>
        </is>
      </c>
      <c r="M128" s="8" t="n">
        <v>2</v>
      </c>
      <c r="N128" s="8" t="n"/>
      <c r="O128" s="8" t="n"/>
      <c r="P128" s="24">
        <f>IF(OR(F128&lt;&gt;M128,IF(AND(G128="",N128=""),FALSE,G128&lt;&gt;N128),IF(AND(H128="",O128=""),FALSE,H128&lt;&gt;O128)),"已改","")</f>
        <v/>
      </c>
      <c r="Q128" s="24" t="inlineStr">
        <is>
          <t>可组</t>
        </is>
      </c>
      <c r="R128" s="23" t="n"/>
    </row>
    <row r="129" ht="28" customHeight="1">
      <c r="A129" s="22" t="inlineStr">
        <is>
          <t>combo_shield</t>
        </is>
      </c>
      <c r="B129" s="22" t="inlineStr">
        <is>
          <t>顺势盾击</t>
        </is>
      </c>
      <c r="C129" s="22" t="inlineStr">
        <is>
          <t>共和国</t>
        </is>
      </c>
      <c r="D129" s="22" t="inlineStr">
        <is>
          <t>战术</t>
        </is>
      </c>
      <c r="E129" s="22" t="inlineStr">
        <is>
          <t>稀有</t>
        </is>
      </c>
      <c r="F129" s="6" t="n">
        <v>2</v>
      </c>
      <c r="G129" s="6" t="n"/>
      <c r="H129" s="6" t="n"/>
      <c r="I129" s="22" t="n">
        <v>2</v>
      </c>
      <c r="J129" s="23" t="n"/>
      <c r="K129" s="23" t="inlineStr">
        <is>
          <t>使一个友方随从获得 +0/+2 与拦截；若本回合已打出过其他牌，改为 +0/+4 与拦截。</t>
        </is>
      </c>
      <c r="L129" s="23" t="inlineStr">
        <is>
          <t>spell:comboBuffTaunt</t>
        </is>
      </c>
      <c r="M129" s="8" t="n">
        <v>2</v>
      </c>
      <c r="N129" s="8" t="n"/>
      <c r="O129" s="8" t="n"/>
      <c r="P129" s="24">
        <f>IF(OR(F129&lt;&gt;M129,IF(AND(G129="",N129=""),FALSE,G129&lt;&gt;N129),IF(AND(H129="",O129=""),FALSE,H129&lt;&gt;O129)),"已改","")</f>
        <v/>
      </c>
      <c r="Q129" s="24" t="inlineStr">
        <is>
          <t>可组</t>
        </is>
      </c>
      <c r="R129" s="23" t="n"/>
    </row>
    <row r="130" ht="28" customHeight="1">
      <c r="A130" s="22" t="inlineStr">
        <is>
          <t>martial_law</t>
        </is>
      </c>
      <c r="B130" s="22" t="inlineStr">
        <is>
          <t>戒严令</t>
        </is>
      </c>
      <c r="C130" s="22" t="inlineStr">
        <is>
          <t>共和国</t>
        </is>
      </c>
      <c r="D130" s="22" t="inlineStr">
        <is>
          <t>战术</t>
        </is>
      </c>
      <c r="E130" s="22" t="inlineStr">
        <is>
          <t>普通</t>
        </is>
      </c>
      <c r="F130" s="6" t="n">
        <v>4</v>
      </c>
      <c r="G130" s="6" t="n"/>
      <c r="H130" s="6" t="n"/>
      <c r="I130" s="22" t="n">
        <v>2</v>
      </c>
      <c r="J130" s="23" t="n"/>
      <c r="K130" s="23" t="inlineStr">
        <is>
          <t>使同阵位的所有随从获得拦截与回潮。</t>
        </is>
      </c>
      <c r="L130" s="23" t="inlineStr">
        <is>
          <t>spell:tauntRebornZone</t>
        </is>
      </c>
      <c r="M130" s="8" t="n">
        <v>4</v>
      </c>
      <c r="N130" s="8" t="n"/>
      <c r="O130" s="8" t="n"/>
      <c r="P130" s="24">
        <f>IF(OR(F130&lt;&gt;M130,IF(AND(G130="",N130=""),FALSE,G130&lt;&gt;N130),IF(AND(H130="",O130=""),FALSE,H130&lt;&gt;O130)),"已改","")</f>
        <v/>
      </c>
      <c r="Q130" s="24" t="inlineStr">
        <is>
          <t>可组</t>
        </is>
      </c>
      <c r="R130" s="23" t="n"/>
    </row>
    <row r="131" ht="28" customHeight="1">
      <c r="A131" s="22" t="inlineStr">
        <is>
          <t>impeachment</t>
        </is>
      </c>
      <c r="B131" s="22" t="inlineStr">
        <is>
          <t>弹劾案</t>
        </is>
      </c>
      <c r="C131" s="22" t="inlineStr">
        <is>
          <t>共和国</t>
        </is>
      </c>
      <c r="D131" s="22" t="inlineStr">
        <is>
          <t>战术</t>
        </is>
      </c>
      <c r="E131" s="22" t="inlineStr">
        <is>
          <t>史诗</t>
        </is>
      </c>
      <c r="F131" s="6" t="n">
        <v>4</v>
      </c>
      <c r="G131" s="6" t="n"/>
      <c r="H131" s="6" t="n"/>
      <c r="I131" s="22" t="n">
        <v>2</v>
      </c>
      <c r="J131" s="23" t="n"/>
      <c r="K131" s="23" t="inlineStr">
        <is>
          <t>消灭一个敌方随从。</t>
        </is>
      </c>
      <c r="L131" s="23" t="inlineStr">
        <is>
          <t>spell:destroy</t>
        </is>
      </c>
      <c r="M131" s="8" t="n">
        <v>4</v>
      </c>
      <c r="N131" s="8" t="n"/>
      <c r="O131" s="8" t="n"/>
      <c r="P131" s="24">
        <f>IF(OR(F131&lt;&gt;M131,IF(AND(G131="",N131=""),FALSE,G131&lt;&gt;N131),IF(AND(H131="",O131=""),FALSE,H131&lt;&gt;O131)),"已改","")</f>
        <v/>
      </c>
      <c r="Q131" s="24" t="inlineStr">
        <is>
          <t>可组</t>
        </is>
      </c>
      <c r="R131" s="23" t="n"/>
    </row>
    <row r="132" ht="28" customHeight="1">
      <c r="A132" s="22" t="inlineStr">
        <is>
          <t>formation_wall</t>
        </is>
      </c>
      <c r="B132" s="22" t="inlineStr">
        <is>
          <t>盾墙阵线</t>
        </is>
      </c>
      <c r="C132" s="22" t="inlineStr">
        <is>
          <t>共和国</t>
        </is>
      </c>
      <c r="D132" s="22" t="inlineStr">
        <is>
          <t>阵型</t>
        </is>
      </c>
      <c r="E132" s="22" t="inlineStr">
        <is>
          <t>稀有</t>
        </is>
      </c>
      <c r="F132" s="6" t="n">
        <v>3</v>
      </c>
      <c r="G132" s="6" t="n"/>
      <c r="H132" s="6" t="n"/>
      <c r="I132" s="22" t="n">
        <v>2</v>
      </c>
      <c r="J132" s="23" t="n"/>
      <c r="K132" s="23" t="inlineStr">
        <is>
          <t>该阵位除共和国新兵以外的所有友方随从固定获得余响：召唤一个 1/1 的共和国新兵。</t>
        </is>
      </c>
      <c r="L132" s="23" t="n"/>
      <c r="M132" s="8" t="n">
        <v>3</v>
      </c>
      <c r="N132" s="8" t="n"/>
      <c r="O132" s="8" t="n"/>
      <c r="P132" s="24">
        <f>IF(OR(F132&lt;&gt;M132,IF(AND(G132="",N132=""),FALSE,G132&lt;&gt;N132),IF(AND(H132="",O132=""),FALSE,H132&lt;&gt;O132)),"已改","")</f>
        <v/>
      </c>
      <c r="Q132" s="24" t="inlineStr">
        <is>
          <t>可组</t>
        </is>
      </c>
      <c r="R132" s="23" t="n"/>
    </row>
    <row r="133" ht="28" customHeight="1">
      <c r="A133" s="22" t="inlineStr">
        <is>
          <t>iron_banner</t>
        </is>
      </c>
      <c r="B133" s="22" t="inlineStr">
        <is>
          <t>铁壁军旗</t>
        </is>
      </c>
      <c r="C133" s="22" t="inlineStr">
        <is>
          <t>共和国</t>
        </is>
      </c>
      <c r="D133" s="22" t="inlineStr">
        <is>
          <t>遗物</t>
        </is>
      </c>
      <c r="E133" s="22" t="inlineStr">
        <is>
          <t>史诗</t>
        </is>
      </c>
      <c r="F133" s="6" t="n">
        <v>4</v>
      </c>
      <c r="G133" s="6" t="n"/>
      <c r="H133" s="6" t="n"/>
      <c r="I133" s="22" t="n">
        <v>1</v>
      </c>
      <c r="J133" s="23" t="n"/>
      <c r="K133" s="23" t="inlineStr">
        <is>
          <t>遗物：你召唤的拦截随从获得 +1/+1。</t>
        </is>
      </c>
      <c r="L133" s="23" t="n"/>
      <c r="M133" s="8" t="n">
        <v>4</v>
      </c>
      <c r="N133" s="8" t="n"/>
      <c r="O133" s="8" t="n"/>
      <c r="P133" s="24">
        <f>IF(OR(F133&lt;&gt;M133,IF(AND(G133="",N133=""),FALSE,G133&lt;&gt;N133),IF(AND(H133="",O133=""),FALSE,H133&lt;&gt;O133)),"已改","")</f>
        <v/>
      </c>
      <c r="Q133" s="25" t="inlineStr">
        <is>
          <t>遗物</t>
        </is>
      </c>
      <c r="R133" s="23" t="n"/>
    </row>
    <row r="134" ht="28" customHeight="1">
      <c r="A134" s="22" t="inlineStr">
        <is>
          <t>republic_seal</t>
        </is>
      </c>
      <c r="B134" s="22" t="inlineStr">
        <is>
          <t>议席印玺</t>
        </is>
      </c>
      <c r="C134" s="22" t="inlineStr">
        <is>
          <t>共和国</t>
        </is>
      </c>
      <c r="D134" s="22" t="inlineStr">
        <is>
          <t>遗物</t>
        </is>
      </c>
      <c r="E134" s="22" t="inlineStr">
        <is>
          <t>史诗</t>
        </is>
      </c>
      <c r="F134" s="6" t="n">
        <v>4</v>
      </c>
      <c r="G134" s="6" t="n"/>
      <c r="H134" s="6" t="n"/>
      <c r="I134" s="22" t="n">
        <v>1</v>
      </c>
      <c r="J134" s="23" t="n"/>
      <c r="K134" s="23" t="inlineStr">
        <is>
          <t>遗物：每当一个友方拦截随从死亡，抽 1 张牌。</t>
        </is>
      </c>
      <c r="L134" s="23" t="n"/>
      <c r="M134" s="8" t="n">
        <v>4</v>
      </c>
      <c r="N134" s="8" t="n"/>
      <c r="O134" s="8" t="n"/>
      <c r="P134" s="24">
        <f>IF(OR(F134&lt;&gt;M134,IF(AND(G134="",N134=""),FALSE,G134&lt;&gt;N134),IF(AND(H134="",O134=""),FALSE,H134&lt;&gt;O134)),"已改","")</f>
        <v/>
      </c>
      <c r="Q134" s="25" t="inlineStr">
        <is>
          <t>遗物</t>
        </is>
      </c>
      <c r="R134" s="23" t="n"/>
    </row>
    <row r="135" ht="28" customHeight="1">
      <c r="A135" s="27" t="inlineStr">
        <is>
          <t>powder_boy</t>
        </is>
      </c>
      <c r="B135" s="27" t="inlineStr">
        <is>
          <t>火药小工</t>
        </is>
      </c>
      <c r="C135" s="27" t="inlineStr">
        <is>
          <t>帝国</t>
        </is>
      </c>
      <c r="D135" s="27" t="inlineStr">
        <is>
          <t>随从</t>
        </is>
      </c>
      <c r="E135" s="27" t="inlineStr">
        <is>
          <t>普通</t>
        </is>
      </c>
      <c r="F135" s="6" t="n">
        <v>1</v>
      </c>
      <c r="G135" s="6" t="n">
        <v>1</v>
      </c>
      <c r="H135" s="6" t="n">
        <v>1</v>
      </c>
      <c r="I135" s="27" t="n">
        <v>2</v>
      </c>
      <c r="J135" s="28" t="inlineStr">
        <is>
          <t>突进</t>
        </is>
      </c>
      <c r="K135" s="28" t="inlineStr">
        <is>
          <t>突进。</t>
        </is>
      </c>
      <c r="L135" s="28" t="n"/>
      <c r="M135" s="8" t="n">
        <v>1</v>
      </c>
      <c r="N135" s="8" t="n">
        <v>1</v>
      </c>
      <c r="O135" s="8" t="n">
        <v>1</v>
      </c>
      <c r="P135" s="29">
        <f>IF(OR(F135&lt;&gt;M135,IF(AND(G135="",N135=""),FALSE,G135&lt;&gt;N135),IF(AND(H135="",O135=""),FALSE,H135&lt;&gt;O135)),"已改","")</f>
        <v/>
      </c>
      <c r="Q135" s="29" t="inlineStr">
        <is>
          <t>可组</t>
        </is>
      </c>
      <c r="R135" s="28" t="n"/>
    </row>
    <row r="136" ht="28" customHeight="1">
      <c r="A136" s="27" t="inlineStr">
        <is>
          <t>mia</t>
        </is>
      </c>
      <c r="B136" s="27" t="inlineStr">
        <is>
          <t>米娅·科尔贝</t>
        </is>
      </c>
      <c r="C136" s="27" t="inlineStr">
        <is>
          <t>帝国</t>
        </is>
      </c>
      <c r="D136" s="27" t="inlineStr">
        <is>
          <t>随从</t>
        </is>
      </c>
      <c r="E136" s="27" t="inlineStr">
        <is>
          <t>传说</t>
        </is>
      </c>
      <c r="F136" s="6" t="n">
        <v>2</v>
      </c>
      <c r="G136" s="6" t="n">
        <v>2</v>
      </c>
      <c r="H136" s="6" t="n">
        <v>1</v>
      </c>
      <c r="I136" s="27" t="n">
        <v>1</v>
      </c>
      <c r="J136" s="28" t="inlineStr">
        <is>
          <t>登场、余响</t>
        </is>
      </c>
      <c r="K136" s="28" t="inlineStr">
        <is>
          <t>登场：抽 1 张牌。余响：抽 1 张牌。</t>
        </is>
      </c>
      <c r="L136" s="28" t="inlineStr">
        <is>
          <t>battlecry:draw；deathrattle:draw</t>
        </is>
      </c>
      <c r="M136" s="8" t="n">
        <v>2</v>
      </c>
      <c r="N136" s="8" t="n">
        <v>2</v>
      </c>
      <c r="O136" s="8" t="n">
        <v>1</v>
      </c>
      <c r="P136" s="29">
        <f>IF(OR(F136&lt;&gt;M136,IF(AND(G136="",N136=""),FALSE,G136&lt;&gt;N136),IF(AND(H136="",O136=""),FALSE,H136&lt;&gt;O136)),"已改","")</f>
        <v/>
      </c>
      <c r="Q136" s="29" t="inlineStr">
        <is>
          <t>可组</t>
        </is>
      </c>
      <c r="R136" s="28" t="n"/>
    </row>
    <row r="137" ht="28" customHeight="1">
      <c r="A137" s="27" t="inlineStr">
        <is>
          <t>empire_guard</t>
        </is>
      </c>
      <c r="B137" s="27" t="inlineStr">
        <is>
          <t>帝国卫兵</t>
        </is>
      </c>
      <c r="C137" s="27" t="inlineStr">
        <is>
          <t>帝国</t>
        </is>
      </c>
      <c r="D137" s="27" t="inlineStr">
        <is>
          <t>随从</t>
        </is>
      </c>
      <c r="E137" s="27" t="inlineStr">
        <is>
          <t>普通</t>
        </is>
      </c>
      <c r="F137" s="6" t="n">
        <v>2</v>
      </c>
      <c r="G137" s="6" t="n">
        <v>1</v>
      </c>
      <c r="H137" s="6" t="n">
        <v>3</v>
      </c>
      <c r="I137" s="27" t="n">
        <v>2</v>
      </c>
      <c r="J137" s="28" t="inlineStr">
        <is>
          <t>登场</t>
        </is>
      </c>
      <c r="K137" s="28" t="inlineStr">
        <is>
          <t>镇脉 1：消耗 1 点流脉，获得 1 点护甲。</t>
        </is>
      </c>
      <c r="L137" s="28" t="n"/>
      <c r="M137" s="8" t="n">
        <v>2</v>
      </c>
      <c r="N137" s="8" t="n">
        <v>1</v>
      </c>
      <c r="O137" s="8" t="n">
        <v>3</v>
      </c>
      <c r="P137" s="29">
        <f>IF(OR(F137&lt;&gt;M137,IF(AND(G137="",N137=""),FALSE,G137&lt;&gt;N137),IF(AND(H137="",O137=""),FALSE,H137&lt;&gt;O137)),"已改","")</f>
        <v/>
      </c>
      <c r="Q137" s="29" t="inlineStr">
        <is>
          <t>可组</t>
        </is>
      </c>
      <c r="R137" s="28" t="n"/>
    </row>
    <row r="138" ht="28" customHeight="1">
      <c r="A138" s="27" t="inlineStr">
        <is>
          <t>zhenmai_artisan</t>
        </is>
      </c>
      <c r="B138" s="27" t="inlineStr">
        <is>
          <t>镇脉工匠</t>
        </is>
      </c>
      <c r="C138" s="27" t="inlineStr">
        <is>
          <t>帝国</t>
        </is>
      </c>
      <c r="D138" s="27" t="inlineStr">
        <is>
          <t>随从</t>
        </is>
      </c>
      <c r="E138" s="27" t="inlineStr">
        <is>
          <t>普通</t>
        </is>
      </c>
      <c r="F138" s="6" t="n">
        <v>2</v>
      </c>
      <c r="G138" s="6" t="n">
        <v>2</v>
      </c>
      <c r="H138" s="6" t="n">
        <v>2</v>
      </c>
      <c r="I138" s="27" t="n">
        <v>2</v>
      </c>
      <c r="J138" s="28" t="inlineStr">
        <is>
          <t>连动</t>
        </is>
      </c>
      <c r="K138" s="28" t="inlineStr">
        <is>
          <t>连动。镇脉 1：消耗 1 点流脉，获得 1 点护甲。</t>
        </is>
      </c>
      <c r="L138" s="28" t="n"/>
      <c r="M138" s="8" t="n">
        <v>2</v>
      </c>
      <c r="N138" s="8" t="n">
        <v>2</v>
      </c>
      <c r="O138" s="8" t="n">
        <v>2</v>
      </c>
      <c r="P138" s="29">
        <f>IF(OR(F138&lt;&gt;M138,IF(AND(G138="",N138=""),FALSE,G138&lt;&gt;N138),IF(AND(H138="",O138=""),FALSE,H138&lt;&gt;O138)),"已改","")</f>
        <v/>
      </c>
      <c r="Q138" s="29" t="inlineStr">
        <is>
          <t>可组</t>
        </is>
      </c>
      <c r="R138" s="28" t="n"/>
    </row>
    <row r="139" ht="28" customHeight="1">
      <c r="A139" s="27" t="inlineStr">
        <is>
          <t>klaus</t>
        </is>
      </c>
      <c r="B139" s="27" t="inlineStr">
        <is>
          <t>克劳斯·莱茵哈特</t>
        </is>
      </c>
      <c r="C139" s="27" t="inlineStr">
        <is>
          <t>帝国</t>
        </is>
      </c>
      <c r="D139" s="27" t="inlineStr">
        <is>
          <t>随从</t>
        </is>
      </c>
      <c r="E139" s="27" t="inlineStr">
        <is>
          <t>传说</t>
        </is>
      </c>
      <c r="F139" s="6" t="n">
        <v>3</v>
      </c>
      <c r="G139" s="6" t="n">
        <v>2</v>
      </c>
      <c r="H139" s="6" t="n">
        <v>2</v>
      </c>
      <c r="I139" s="27" t="n">
        <v>1</v>
      </c>
      <c r="J139" s="28" t="inlineStr">
        <is>
          <t>登场、突进</t>
        </is>
      </c>
      <c r="K139" s="28" t="inlineStr">
        <is>
          <t>突进。登场：场上每有一个其他随从（不分敌我），获得 +1/+1。反噬 1。</t>
        </is>
      </c>
      <c r="L139" s="28" t="inlineStr">
        <is>
          <t>battlecry:buffPerAllMinions</t>
        </is>
      </c>
      <c r="M139" s="8" t="n">
        <v>3</v>
      </c>
      <c r="N139" s="8" t="n">
        <v>2</v>
      </c>
      <c r="O139" s="8" t="n">
        <v>2</v>
      </c>
      <c r="P139" s="29">
        <f>IF(OR(F139&lt;&gt;M139,IF(AND(G139="",N139=""),FALSE,G139&lt;&gt;N139),IF(AND(H139="",O139=""),FALSE,H139&lt;&gt;O139)),"已改","")</f>
        <v/>
      </c>
      <c r="Q139" s="29" t="inlineStr">
        <is>
          <t>可组</t>
        </is>
      </c>
      <c r="R139" s="28" t="n"/>
    </row>
    <row r="140" ht="28" customHeight="1">
      <c r="A140" s="27" t="inlineStr">
        <is>
          <t>elsa</t>
        </is>
      </c>
      <c r="B140" s="27" t="inlineStr">
        <is>
          <t>艾尔莎·汉瑟尔</t>
        </is>
      </c>
      <c r="C140" s="27" t="inlineStr">
        <is>
          <t>帝国</t>
        </is>
      </c>
      <c r="D140" s="27" t="inlineStr">
        <is>
          <t>随从</t>
        </is>
      </c>
      <c r="E140" s="27" t="inlineStr">
        <is>
          <t>传说</t>
        </is>
      </c>
      <c r="F140" s="6" t="n">
        <v>3</v>
      </c>
      <c r="G140" s="6" t="n">
        <v>2</v>
      </c>
      <c r="H140" s="6" t="n">
        <v>3</v>
      </c>
      <c r="I140" s="27" t="n">
        <v>1</v>
      </c>
      <c r="J140" s="28" t="inlineStr">
        <is>
          <t>连动、登场</t>
        </is>
      </c>
      <c r="K140" s="28" t="inlineStr">
        <is>
          <t>连动。镇脉 2：消耗 2 点流脉，获得 2 点护甲。</t>
        </is>
      </c>
      <c r="L140" s="28" t="n"/>
      <c r="M140" s="8" t="n">
        <v>3</v>
      </c>
      <c r="N140" s="8" t="n">
        <v>2</v>
      </c>
      <c r="O140" s="8" t="n">
        <v>3</v>
      </c>
      <c r="P140" s="29">
        <f>IF(OR(F140&lt;&gt;M140,IF(AND(G140="",N140=""),FALSE,G140&lt;&gt;N140),IF(AND(H140="",O140=""),FALSE,H140&lt;&gt;O140)),"已改","")</f>
        <v/>
      </c>
      <c r="Q140" s="29" t="inlineStr">
        <is>
          <t>可组</t>
        </is>
      </c>
      <c r="R140" s="28" t="n"/>
    </row>
    <row r="141" ht="28" customHeight="1">
      <c r="A141" s="27" t="inlineStr">
        <is>
          <t>karl_schwarz</t>
        </is>
      </c>
      <c r="B141" s="27" t="inlineStr">
        <is>
          <t>卡尔·冯·施瓦茨</t>
        </is>
      </c>
      <c r="C141" s="27" t="inlineStr">
        <is>
          <t>帝国</t>
        </is>
      </c>
      <c r="D141" s="27" t="inlineStr">
        <is>
          <t>随从</t>
        </is>
      </c>
      <c r="E141" s="27" t="inlineStr">
        <is>
          <t>传说</t>
        </is>
      </c>
      <c r="F141" s="6" t="n">
        <v>3</v>
      </c>
      <c r="G141" s="6" t="n">
        <v>3</v>
      </c>
      <c r="H141" s="6" t="n">
        <v>4</v>
      </c>
      <c r="I141" s="27" t="n">
        <v>1</v>
      </c>
      <c r="J141" s="28" t="inlineStr">
        <is>
          <t>突进</t>
        </is>
      </c>
      <c r="K141" s="28" t="inlineStr">
        <is>
          <t>突进。反噬 1。</t>
        </is>
      </c>
      <c r="L141" s="28" t="n"/>
      <c r="M141" s="8" t="n">
        <v>3</v>
      </c>
      <c r="N141" s="8" t="n">
        <v>3</v>
      </c>
      <c r="O141" s="8" t="n">
        <v>4</v>
      </c>
      <c r="P141" s="29">
        <f>IF(OR(F141&lt;&gt;M141,IF(AND(G141="",N141=""),FALSE,G141&lt;&gt;N141),IF(AND(H141="",O141=""),FALSE,H141&lt;&gt;O141)),"已改","")</f>
        <v/>
      </c>
      <c r="Q141" s="29" t="inlineStr">
        <is>
          <t>可组</t>
        </is>
      </c>
      <c r="R141" s="28" t="n"/>
    </row>
    <row r="142" ht="28" customHeight="1">
      <c r="A142" s="27" t="inlineStr">
        <is>
          <t>ironclad</t>
        </is>
      </c>
      <c r="B142" s="27" t="inlineStr">
        <is>
          <t>铁甲步兵</t>
        </is>
      </c>
      <c r="C142" s="27" t="inlineStr">
        <is>
          <t>帝国</t>
        </is>
      </c>
      <c r="D142" s="27" t="inlineStr">
        <is>
          <t>随从</t>
        </is>
      </c>
      <c r="E142" s="27" t="inlineStr">
        <is>
          <t>普通</t>
        </is>
      </c>
      <c r="F142" s="6" t="n">
        <v>3</v>
      </c>
      <c r="G142" s="6" t="n">
        <v>2</v>
      </c>
      <c r="H142" s="6" t="n">
        <v>3</v>
      </c>
      <c r="I142" s="27" t="n">
        <v>2</v>
      </c>
      <c r="J142" s="28" t="inlineStr">
        <is>
          <t>袭扰</t>
        </is>
      </c>
      <c r="K142" s="28" t="inlineStr">
        <is>
          <t>袭扰。</t>
        </is>
      </c>
      <c r="L142" s="28" t="n"/>
      <c r="M142" s="8" t="n">
        <v>3</v>
      </c>
      <c r="N142" s="8" t="n">
        <v>2</v>
      </c>
      <c r="O142" s="8" t="n">
        <v>3</v>
      </c>
      <c r="P142" s="29">
        <f>IF(OR(F142&lt;&gt;M142,IF(AND(G142="",N142=""),FALSE,G142&lt;&gt;N142),IF(AND(H142="",O142=""),FALSE,H142&lt;&gt;O142)),"已改","")</f>
        <v/>
      </c>
      <c r="Q142" s="29" t="inlineStr">
        <is>
          <t>可组</t>
        </is>
      </c>
      <c r="R142" s="28" t="n"/>
    </row>
    <row r="143" ht="28" customHeight="1">
      <c r="A143" s="27" t="inlineStr">
        <is>
          <t>rush_lancer</t>
        </is>
      </c>
      <c r="B143" s="27" t="inlineStr">
        <is>
          <t>袭扰枪骑</t>
        </is>
      </c>
      <c r="C143" s="27" t="inlineStr">
        <is>
          <t>帝国</t>
        </is>
      </c>
      <c r="D143" s="27" t="inlineStr">
        <is>
          <t>随从</t>
        </is>
      </c>
      <c r="E143" s="27" t="inlineStr">
        <is>
          <t>稀有</t>
        </is>
      </c>
      <c r="F143" s="6" t="n">
        <v>3</v>
      </c>
      <c r="G143" s="6" t="n">
        <v>3</v>
      </c>
      <c r="H143" s="6" t="n">
        <v>2</v>
      </c>
      <c r="I143" s="27" t="n">
        <v>2</v>
      </c>
      <c r="J143" s="28" t="inlineStr">
        <is>
          <t>袭扰</t>
        </is>
      </c>
      <c r="K143" s="28" t="inlineStr">
        <is>
          <t>袭扰。</t>
        </is>
      </c>
      <c r="L143" s="28" t="n"/>
      <c r="M143" s="8" t="n">
        <v>3</v>
      </c>
      <c r="N143" s="8" t="n">
        <v>3</v>
      </c>
      <c r="O143" s="8" t="n">
        <v>2</v>
      </c>
      <c r="P143" s="29">
        <f>IF(OR(F143&lt;&gt;M143,IF(AND(G143="",N143=""),FALSE,G143&lt;&gt;N143),IF(AND(H143="",O143=""),FALSE,H143&lt;&gt;O143)),"已改","")</f>
        <v/>
      </c>
      <c r="Q143" s="29" t="inlineStr">
        <is>
          <t>可组</t>
        </is>
      </c>
      <c r="R143" s="28" t="n"/>
    </row>
    <row r="144" ht="28" customHeight="1">
      <c r="A144" s="27" t="inlineStr">
        <is>
          <t>iron_mechanic</t>
        </is>
      </c>
      <c r="B144" s="27" t="inlineStr">
        <is>
          <t>铁流技工</t>
        </is>
      </c>
      <c r="C144" s="27" t="inlineStr">
        <is>
          <t>帝国</t>
        </is>
      </c>
      <c r="D144" s="27" t="inlineStr">
        <is>
          <t>随从</t>
        </is>
      </c>
      <c r="E144" s="27" t="inlineStr">
        <is>
          <t>稀有</t>
        </is>
      </c>
      <c r="F144" s="6" t="n">
        <v>3</v>
      </c>
      <c r="G144" s="6" t="n">
        <v>1</v>
      </c>
      <c r="H144" s="6" t="n">
        <v>4</v>
      </c>
      <c r="I144" s="27" t="n">
        <v>2</v>
      </c>
      <c r="J144" s="28" t="inlineStr">
        <is>
          <t>连动、突进</t>
        </is>
      </c>
      <c r="K144" s="28" t="inlineStr">
        <is>
          <t>连动。突进。</t>
        </is>
      </c>
      <c r="L144" s="28" t="n"/>
      <c r="M144" s="8" t="n">
        <v>3</v>
      </c>
      <c r="N144" s="8" t="n">
        <v>1</v>
      </c>
      <c r="O144" s="8" t="n">
        <v>4</v>
      </c>
      <c r="P144" s="29">
        <f>IF(OR(F144&lt;&gt;M144,IF(AND(G144="",N144=""),FALSE,G144&lt;&gt;N144),IF(AND(H144="",O144=""),FALSE,H144&lt;&gt;O144)),"已改","")</f>
        <v/>
      </c>
      <c r="Q144" s="29" t="inlineStr">
        <is>
          <t>可组</t>
        </is>
      </c>
      <c r="R144" s="28" t="n"/>
    </row>
    <row r="145" ht="28" customHeight="1">
      <c r="A145" s="27" t="inlineStr">
        <is>
          <t>overload_gunner</t>
        </is>
      </c>
      <c r="B145" s="27" t="inlineStr">
        <is>
          <t>反噬炮手</t>
        </is>
      </c>
      <c r="C145" s="27" t="inlineStr">
        <is>
          <t>帝国</t>
        </is>
      </c>
      <c r="D145" s="27" t="inlineStr">
        <is>
          <t>随从</t>
        </is>
      </c>
      <c r="E145" s="27" t="inlineStr">
        <is>
          <t>稀有</t>
        </is>
      </c>
      <c r="F145" s="6" t="n">
        <v>3</v>
      </c>
      <c r="G145" s="6" t="n">
        <v>3</v>
      </c>
      <c r="H145" s="6" t="n">
        <v>3</v>
      </c>
      <c r="I145" s="27" t="n">
        <v>2</v>
      </c>
      <c r="J145" s="28" t="inlineStr">
        <is>
          <t>袭扰</t>
        </is>
      </c>
      <c r="K145" s="28" t="inlineStr">
        <is>
          <t>袭扰。反噬 1。造成伤害时，获得等量护甲。</t>
        </is>
      </c>
      <c r="L145" s="28" t="inlineStr">
        <is>
          <t>passive:damageToArmor</t>
        </is>
      </c>
      <c r="M145" s="8" t="n">
        <v>3</v>
      </c>
      <c r="N145" s="8" t="n">
        <v>3</v>
      </c>
      <c r="O145" s="8" t="n">
        <v>3</v>
      </c>
      <c r="P145" s="29">
        <f>IF(OR(F145&lt;&gt;M145,IF(AND(G145="",N145=""),FALSE,G145&lt;&gt;N145),IF(AND(H145="",O145=""),FALSE,H145&lt;&gt;O145)),"已改","")</f>
        <v/>
      </c>
      <c r="Q145" s="29" t="inlineStr">
        <is>
          <t>可组</t>
        </is>
      </c>
      <c r="R145" s="28" t="n"/>
    </row>
    <row r="146" ht="28" customHeight="1">
      <c r="A146" s="27" t="inlineStr">
        <is>
          <t>gunther</t>
        </is>
      </c>
      <c r="B146" s="27" t="inlineStr">
        <is>
          <t>京特·冯·艾森瓦尔德</t>
        </is>
      </c>
      <c r="C146" s="27" t="inlineStr">
        <is>
          <t>帝国</t>
        </is>
      </c>
      <c r="D146" s="27" t="inlineStr">
        <is>
          <t>随从</t>
        </is>
      </c>
      <c r="E146" s="27" t="inlineStr">
        <is>
          <t>传说</t>
        </is>
      </c>
      <c r="F146" s="6" t="n">
        <v>4</v>
      </c>
      <c r="G146" s="6" t="n">
        <v>3</v>
      </c>
      <c r="H146" s="6" t="n">
        <v>5</v>
      </c>
      <c r="I146" s="27" t="n">
        <v>1</v>
      </c>
      <c r="J146" s="28" t="inlineStr">
        <is>
          <t>登场、连动</t>
        </is>
      </c>
      <c r="K146" s="28" t="inlineStr">
        <is>
          <t>连动。登场：获得 4 点护甲。</t>
        </is>
      </c>
      <c r="L146" s="28" t="inlineStr">
        <is>
          <t>battlecry:armor</t>
        </is>
      </c>
      <c r="M146" s="8" t="n">
        <v>4</v>
      </c>
      <c r="N146" s="8" t="n">
        <v>3</v>
      </c>
      <c r="O146" s="8" t="n">
        <v>5</v>
      </c>
      <c r="P146" s="29">
        <f>IF(OR(F146&lt;&gt;M146,IF(AND(G146="",N146=""),FALSE,G146&lt;&gt;N146),IF(AND(H146="",O146=""),FALSE,H146&lt;&gt;O146)),"已改","")</f>
        <v/>
      </c>
      <c r="Q146" s="29" t="inlineStr">
        <is>
          <t>可组</t>
        </is>
      </c>
      <c r="R146" s="28" t="n"/>
    </row>
    <row r="147" ht="28" customHeight="1">
      <c r="A147" s="27" t="inlineStr">
        <is>
          <t>siege_captain</t>
        </is>
      </c>
      <c r="B147" s="27" t="inlineStr">
        <is>
          <t>攻城队长</t>
        </is>
      </c>
      <c r="C147" s="27" t="inlineStr">
        <is>
          <t>帝国</t>
        </is>
      </c>
      <c r="D147" s="27" t="inlineStr">
        <is>
          <t>随从</t>
        </is>
      </c>
      <c r="E147" s="27" t="inlineStr">
        <is>
          <t>史诗</t>
        </is>
      </c>
      <c r="F147" s="6" t="n">
        <v>4</v>
      </c>
      <c r="G147" s="6" t="n">
        <v>3</v>
      </c>
      <c r="H147" s="6" t="n">
        <v>4</v>
      </c>
      <c r="I147" s="27" t="n">
        <v>2</v>
      </c>
      <c r="J147" s="28" t="inlineStr">
        <is>
          <t>登场</t>
        </is>
      </c>
      <c r="K147" s="28" t="inlineStr">
        <is>
          <t>登场：对所有敌方随从造成 1 点伤害。镇脉 1：消耗 1 点流脉，获得 1 点护甲。</t>
        </is>
      </c>
      <c r="L147" s="28" t="inlineStr">
        <is>
          <t>battlecry:damageAllEnemies</t>
        </is>
      </c>
      <c r="M147" s="8" t="n">
        <v>4</v>
      </c>
      <c r="N147" s="8" t="n">
        <v>3</v>
      </c>
      <c r="O147" s="8" t="n">
        <v>4</v>
      </c>
      <c r="P147" s="29">
        <f>IF(OR(F147&lt;&gt;M147,IF(AND(G147="",N147=""),FALSE,G147&lt;&gt;N147),IF(AND(H147="",O147=""),FALSE,H147&lt;&gt;O147)),"已改","")</f>
        <v/>
      </c>
      <c r="Q147" s="29" t="inlineStr">
        <is>
          <t>可组</t>
        </is>
      </c>
      <c r="R147" s="28" t="n"/>
    </row>
    <row r="148" ht="28" customHeight="1">
      <c r="A148" s="27" t="inlineStr">
        <is>
          <t>walter</t>
        </is>
      </c>
      <c r="B148" s="27" t="inlineStr">
        <is>
          <t>瓦尔特·克鲁格</t>
        </is>
      </c>
      <c r="C148" s="27" t="inlineStr">
        <is>
          <t>帝国</t>
        </is>
      </c>
      <c r="D148" s="27" t="inlineStr">
        <is>
          <t>随从</t>
        </is>
      </c>
      <c r="E148" s="27" t="inlineStr">
        <is>
          <t>传说</t>
        </is>
      </c>
      <c r="F148" s="6" t="n">
        <v>5</v>
      </c>
      <c r="G148" s="6" t="n">
        <v>3</v>
      </c>
      <c r="H148" s="6" t="n">
        <v>5</v>
      </c>
      <c r="I148" s="27" t="n">
        <v>1</v>
      </c>
      <c r="J148" s="28" t="inlineStr">
        <is>
          <t>登场</t>
        </is>
      </c>
      <c r="K148" s="28" t="inlineStr">
        <is>
          <t>登场：每有一点护甲，对一名随机敌方单位（包括领袖）造成 1 点伤害。</t>
        </is>
      </c>
      <c r="L148" s="28" t="inlineStr">
        <is>
          <t>battlecry:damagePerArmorRandom</t>
        </is>
      </c>
      <c r="M148" s="8" t="n">
        <v>5</v>
      </c>
      <c r="N148" s="8" t="n">
        <v>3</v>
      </c>
      <c r="O148" s="8" t="n">
        <v>5</v>
      </c>
      <c r="P148" s="29">
        <f>IF(OR(F148&lt;&gt;M148,IF(AND(G148="",N148=""),FALSE,G148&lt;&gt;N148),IF(AND(H148="",O148=""),FALSE,H148&lt;&gt;O148)),"已改","")</f>
        <v/>
      </c>
      <c r="Q148" s="29" t="inlineStr">
        <is>
          <t>可组</t>
        </is>
      </c>
      <c r="R148" s="28" t="n"/>
    </row>
    <row r="149" ht="28" customHeight="1">
      <c r="A149" s="27" t="inlineStr">
        <is>
          <t>wind_cannon</t>
        </is>
      </c>
      <c r="B149" s="27" t="inlineStr">
        <is>
          <t>风压炮</t>
        </is>
      </c>
      <c r="C149" s="27" t="inlineStr">
        <is>
          <t>帝国</t>
        </is>
      </c>
      <c r="D149" s="27" t="inlineStr">
        <is>
          <t>随从</t>
        </is>
      </c>
      <c r="E149" s="27" t="inlineStr">
        <is>
          <t>稀有</t>
        </is>
      </c>
      <c r="F149" s="6" t="n">
        <v>5</v>
      </c>
      <c r="G149" s="6" t="n">
        <v>3</v>
      </c>
      <c r="H149" s="6" t="n">
        <v>5</v>
      </c>
      <c r="I149" s="27" t="n">
        <v>2</v>
      </c>
      <c r="J149" s="28" t="inlineStr">
        <is>
          <t>连动</t>
        </is>
      </c>
      <c r="K149" s="28" t="inlineStr">
        <is>
          <t>连动。镇脉 1：消耗 1 点流脉，获得 1 点护甲。</t>
        </is>
      </c>
      <c r="L149" s="28" t="n"/>
      <c r="M149" s="8" t="n">
        <v>5</v>
      </c>
      <c r="N149" s="8" t="n">
        <v>3</v>
      </c>
      <c r="O149" s="8" t="n">
        <v>5</v>
      </c>
      <c r="P149" s="29">
        <f>IF(OR(F149&lt;&gt;M149,IF(AND(G149="",N149=""),FALSE,G149&lt;&gt;N149),IF(AND(H149="",O149=""),FALSE,H149&lt;&gt;O149)),"已改","")</f>
        <v/>
      </c>
      <c r="Q149" s="29" t="inlineStr">
        <is>
          <t>可组</t>
        </is>
      </c>
      <c r="R149" s="28" t="n"/>
    </row>
    <row r="150" ht="28" customHeight="1">
      <c r="A150" s="27" t="inlineStr">
        <is>
          <t>powder_marshal</t>
        </is>
      </c>
      <c r="B150" s="27" t="inlineStr">
        <is>
          <t>火药元帅</t>
        </is>
      </c>
      <c r="C150" s="27" t="inlineStr">
        <is>
          <t>帝国</t>
        </is>
      </c>
      <c r="D150" s="27" t="inlineStr">
        <is>
          <t>随从</t>
        </is>
      </c>
      <c r="E150" s="27" t="inlineStr">
        <is>
          <t>稀有</t>
        </is>
      </c>
      <c r="F150" s="6" t="n">
        <v>5</v>
      </c>
      <c r="G150" s="6" t="n">
        <v>4</v>
      </c>
      <c r="H150" s="6" t="n">
        <v>3</v>
      </c>
      <c r="I150" s="27" t="n">
        <v>2</v>
      </c>
      <c r="J150" s="28" t="inlineStr">
        <is>
          <t>登场、突进</t>
        </is>
      </c>
      <c r="K150" s="28" t="inlineStr">
        <is>
          <t>突进。登场：获得 5 点护甲。</t>
        </is>
      </c>
      <c r="L150" s="28" t="inlineStr">
        <is>
          <t>battlecry:armor</t>
        </is>
      </c>
      <c r="M150" s="8" t="n">
        <v>5</v>
      </c>
      <c r="N150" s="8" t="n">
        <v>4</v>
      </c>
      <c r="O150" s="8" t="n">
        <v>3</v>
      </c>
      <c r="P150" s="29">
        <f>IF(OR(F150&lt;&gt;M150,IF(AND(G150="",N150=""),FALSE,G150&lt;&gt;N150),IF(AND(H150="",O150=""),FALSE,H150&lt;&gt;O150)),"已改","")</f>
        <v/>
      </c>
      <c r="Q150" s="29" t="inlineStr">
        <is>
          <t>可组</t>
        </is>
      </c>
      <c r="R150" s="28" t="n"/>
    </row>
    <row r="151" ht="28" customHeight="1">
      <c r="A151" s="27" t="inlineStr">
        <is>
          <t>iron_artillery</t>
        </is>
      </c>
      <c r="B151" s="27" t="inlineStr">
        <is>
          <t>铁流炮台</t>
        </is>
      </c>
      <c r="C151" s="27" t="inlineStr">
        <is>
          <t>帝国</t>
        </is>
      </c>
      <c r="D151" s="27" t="inlineStr">
        <is>
          <t>随从</t>
        </is>
      </c>
      <c r="E151" s="27" t="inlineStr">
        <is>
          <t>史诗</t>
        </is>
      </c>
      <c r="F151" s="6" t="n">
        <v>6</v>
      </c>
      <c r="G151" s="6" t="n">
        <v>3</v>
      </c>
      <c r="H151" s="6" t="n">
        <v>4</v>
      </c>
      <c r="I151" s="27" t="n">
        <v>2</v>
      </c>
      <c r="J151" s="28" t="inlineStr">
        <is>
          <t>登场、袭扰</t>
        </is>
      </c>
      <c r="K151" s="28" t="inlineStr">
        <is>
          <t>袭扰。登场：对一个敌方随从造成等同于你护甲的伤害。</t>
        </is>
      </c>
      <c r="L151" s="28" t="inlineStr">
        <is>
          <t>battlecry:armorDamage</t>
        </is>
      </c>
      <c r="M151" s="8" t="n">
        <v>6</v>
      </c>
      <c r="N151" s="8" t="n">
        <v>3</v>
      </c>
      <c r="O151" s="8" t="n">
        <v>4</v>
      </c>
      <c r="P151" s="29">
        <f>IF(OR(F151&lt;&gt;M151,IF(AND(G151="",N151=""),FALSE,G151&lt;&gt;N151),IF(AND(H151="",O151=""),FALSE,H151&lt;&gt;O151)),"已改","")</f>
        <v/>
      </c>
      <c r="Q151" s="29" t="inlineStr">
        <is>
          <t>可组</t>
        </is>
      </c>
      <c r="R151" s="28" t="n"/>
    </row>
    <row r="152" ht="28" customHeight="1">
      <c r="A152" s="27" t="inlineStr">
        <is>
          <t>siege_train</t>
        </is>
      </c>
      <c r="B152" s="27" t="inlineStr">
        <is>
          <t>攻城列车</t>
        </is>
      </c>
      <c r="C152" s="27" t="inlineStr">
        <is>
          <t>帝国</t>
        </is>
      </c>
      <c r="D152" s="27" t="inlineStr">
        <is>
          <t>随从</t>
        </is>
      </c>
      <c r="E152" s="27" t="inlineStr">
        <is>
          <t>稀有</t>
        </is>
      </c>
      <c r="F152" s="6" t="n">
        <v>7</v>
      </c>
      <c r="G152" s="6" t="n">
        <v>3</v>
      </c>
      <c r="H152" s="6" t="n">
        <v>4</v>
      </c>
      <c r="I152" s="27" t="n">
        <v>2</v>
      </c>
      <c r="J152" s="28" t="inlineStr">
        <is>
          <t>登场、连动</t>
        </is>
      </c>
      <c r="K152" s="28" t="inlineStr">
        <is>
          <t>连动。登场：对所有敌方随从造成 3 点伤害。</t>
        </is>
      </c>
      <c r="L152" s="28" t="inlineStr">
        <is>
          <t>battlecry:damageAllEnemies</t>
        </is>
      </c>
      <c r="M152" s="8" t="n">
        <v>7</v>
      </c>
      <c r="N152" s="8" t="n">
        <v>3</v>
      </c>
      <c r="O152" s="8" t="n">
        <v>4</v>
      </c>
      <c r="P152" s="29">
        <f>IF(OR(F152&lt;&gt;M152,IF(AND(G152="",N152=""),FALSE,G152&lt;&gt;N152),IF(AND(H152="",O152=""),FALSE,H152&lt;&gt;O152)),"已改","")</f>
        <v/>
      </c>
      <c r="Q152" s="29" t="inlineStr">
        <is>
          <t>可组</t>
        </is>
      </c>
      <c r="R152" s="28" t="n"/>
    </row>
    <row r="153" ht="28" customHeight="1">
      <c r="A153" s="27" t="inlineStr">
        <is>
          <t>quarantine</t>
        </is>
      </c>
      <c r="B153" s="27" t="inlineStr">
        <is>
          <t>战地检疫</t>
        </is>
      </c>
      <c r="C153" s="27" t="inlineStr">
        <is>
          <t>帝国</t>
        </is>
      </c>
      <c r="D153" s="27" t="inlineStr">
        <is>
          <t>战术</t>
        </is>
      </c>
      <c r="E153" s="27" t="inlineStr">
        <is>
          <t>稀有</t>
        </is>
      </c>
      <c r="F153" s="6" t="n">
        <v>0</v>
      </c>
      <c r="G153" s="6" t="n"/>
      <c r="H153" s="6" t="n"/>
      <c r="I153" s="27" t="n">
        <v>2</v>
      </c>
      <c r="J153" s="28" t="n"/>
      <c r="K153" s="28" t="inlineStr">
        <is>
          <t>下回合敌方领袖不能使用技能。</t>
        </is>
      </c>
      <c r="L153" s="28" t="inlineStr">
        <is>
          <t>spell:blockHeroPower</t>
        </is>
      </c>
      <c r="M153" s="8" t="n">
        <v>0</v>
      </c>
      <c r="N153" s="8" t="n"/>
      <c r="O153" s="8" t="n"/>
      <c r="P153" s="29">
        <f>IF(OR(F153&lt;&gt;M153,IF(AND(G153="",N153=""),FALSE,G153&lt;&gt;N153),IF(AND(H153="",O153=""),FALSE,H153&lt;&gt;O153)),"已改","")</f>
        <v/>
      </c>
      <c r="Q153" s="29" t="inlineStr">
        <is>
          <t>可组</t>
        </is>
      </c>
      <c r="R153" s="28" t="n"/>
    </row>
    <row r="154" ht="28" customHeight="1">
      <c r="A154" s="27" t="inlineStr">
        <is>
          <t>barrage</t>
        </is>
      </c>
      <c r="B154" s="27" t="inlineStr">
        <is>
          <t>炮火覆盖</t>
        </is>
      </c>
      <c r="C154" s="27" t="inlineStr">
        <is>
          <t>帝国</t>
        </is>
      </c>
      <c r="D154" s="27" t="inlineStr">
        <is>
          <t>战术</t>
        </is>
      </c>
      <c r="E154" s="27" t="inlineStr">
        <is>
          <t>普通</t>
        </is>
      </c>
      <c r="F154" s="6" t="n">
        <v>1</v>
      </c>
      <c r="G154" s="6" t="n"/>
      <c r="H154" s="6" t="n"/>
      <c r="I154" s="27" t="n">
        <v>2</v>
      </c>
      <c r="J154" s="28" t="n"/>
      <c r="K154" s="28" t="inlineStr">
        <is>
          <t>对一个敌方随从造成 2 点伤害。</t>
        </is>
      </c>
      <c r="L154" s="28" t="inlineStr">
        <is>
          <t>spell:damage</t>
        </is>
      </c>
      <c r="M154" s="8" t="n">
        <v>1</v>
      </c>
      <c r="N154" s="8" t="n"/>
      <c r="O154" s="8" t="n"/>
      <c r="P154" s="29">
        <f>IF(OR(F154&lt;&gt;M154,IF(AND(G154="",N154=""),FALSE,G154&lt;&gt;N154),IF(AND(H154="",O154=""),FALSE,H154&lt;&gt;O154)),"已改","")</f>
        <v/>
      </c>
      <c r="Q154" s="29" t="inlineStr">
        <is>
          <t>可组</t>
        </is>
      </c>
      <c r="R154" s="28" t="n"/>
    </row>
    <row r="155" ht="28" customHeight="1">
      <c r="A155" s="27" t="inlineStr">
        <is>
          <t>fortress</t>
        </is>
      </c>
      <c r="B155" s="27" t="inlineStr">
        <is>
          <t>要塞令</t>
        </is>
      </c>
      <c r="C155" s="27" t="inlineStr">
        <is>
          <t>帝国</t>
        </is>
      </c>
      <c r="D155" s="27" t="inlineStr">
        <is>
          <t>战术</t>
        </is>
      </c>
      <c r="E155" s="27" t="inlineStr">
        <is>
          <t>普通</t>
        </is>
      </c>
      <c r="F155" s="6" t="n">
        <v>2</v>
      </c>
      <c r="G155" s="6" t="n"/>
      <c r="H155" s="6" t="n"/>
      <c r="I155" s="27" t="n">
        <v>2</v>
      </c>
      <c r="J155" s="28" t="n"/>
      <c r="K155" s="28" t="inlineStr">
        <is>
          <t>使一个友方随从获得连动。</t>
        </is>
      </c>
      <c r="L155" s="28" t="inlineStr">
        <is>
          <t>spell:buffWindfury</t>
        </is>
      </c>
      <c r="M155" s="8" t="n">
        <v>2</v>
      </c>
      <c r="N155" s="8" t="n"/>
      <c r="O155" s="8" t="n"/>
      <c r="P155" s="29">
        <f>IF(OR(F155&lt;&gt;M155,IF(AND(G155="",N155=""),FALSE,G155&lt;&gt;N155),IF(AND(H155="",O155=""),FALSE,H155&lt;&gt;O155)),"已改","")</f>
        <v/>
      </c>
      <c r="Q155" s="29" t="inlineStr">
        <is>
          <t>可组</t>
        </is>
      </c>
      <c r="R155" s="28" t="n"/>
    </row>
    <row r="156" ht="28" customHeight="1">
      <c r="A156" s="27" t="inlineStr">
        <is>
          <t>martial_court</t>
        </is>
      </c>
      <c r="B156" s="27" t="inlineStr">
        <is>
          <t>军事法庭</t>
        </is>
      </c>
      <c r="C156" s="27" t="inlineStr">
        <is>
          <t>帝国</t>
        </is>
      </c>
      <c r="D156" s="27" t="inlineStr">
        <is>
          <t>战术</t>
        </is>
      </c>
      <c r="E156" s="27" t="inlineStr">
        <is>
          <t>普通</t>
        </is>
      </c>
      <c r="F156" s="6" t="n">
        <v>2</v>
      </c>
      <c r="G156" s="6" t="n"/>
      <c r="H156" s="6" t="n"/>
      <c r="I156" s="27" t="n">
        <v>2</v>
      </c>
      <c r="J156" s="28" t="n"/>
      <c r="K156" s="28" t="inlineStr">
        <is>
          <t>每有一个敌方随从，获得 2 点护甲。</t>
        </is>
      </c>
      <c r="L156" s="28" t="inlineStr">
        <is>
          <t>spell:armorPerEnemy</t>
        </is>
      </c>
      <c r="M156" s="8" t="n">
        <v>2</v>
      </c>
      <c r="N156" s="8" t="n"/>
      <c r="O156" s="8" t="n"/>
      <c r="P156" s="29">
        <f>IF(OR(F156&lt;&gt;M156,IF(AND(G156="",N156=""),FALSE,G156&lt;&gt;N156),IF(AND(H156="",O156=""),FALSE,H156&lt;&gt;O156)),"已改","")</f>
        <v/>
      </c>
      <c r="Q156" s="29" t="inlineStr">
        <is>
          <t>可组</t>
        </is>
      </c>
      <c r="R156" s="28" t="n"/>
    </row>
    <row r="157" ht="28" customHeight="1">
      <c r="A157" s="27" t="inlineStr">
        <is>
          <t>war_tax</t>
        </is>
      </c>
      <c r="B157" s="27" t="inlineStr">
        <is>
          <t>战争税</t>
        </is>
      </c>
      <c r="C157" s="27" t="inlineStr">
        <is>
          <t>帝国</t>
        </is>
      </c>
      <c r="D157" s="27" t="inlineStr">
        <is>
          <t>战术</t>
        </is>
      </c>
      <c r="E157" s="27" t="inlineStr">
        <is>
          <t>稀有</t>
        </is>
      </c>
      <c r="F157" s="6" t="n">
        <v>2</v>
      </c>
      <c r="G157" s="6" t="n"/>
      <c r="H157" s="6" t="n"/>
      <c r="I157" s="27" t="n">
        <v>2</v>
      </c>
      <c r="J157" s="28" t="n"/>
      <c r="K157" s="28" t="inlineStr">
        <is>
          <t>抽 2 张牌；你的领袖受到 3 点伤害。</t>
        </is>
      </c>
      <c r="L157" s="28" t="inlineStr">
        <is>
          <t>spell:selfDamageDraw</t>
        </is>
      </c>
      <c r="M157" s="8" t="n">
        <v>2</v>
      </c>
      <c r="N157" s="8" t="n"/>
      <c r="O157" s="8" t="n"/>
      <c r="P157" s="29">
        <f>IF(OR(F157&lt;&gt;M157,IF(AND(G157="",N157=""),FALSE,G157&lt;&gt;N157),IF(AND(H157="",O157=""),FALSE,H157&lt;&gt;O157)),"已改","")</f>
        <v/>
      </c>
      <c r="Q157" s="29" t="inlineStr">
        <is>
          <t>可组</t>
        </is>
      </c>
      <c r="R157" s="28" t="n"/>
    </row>
    <row r="158" ht="28" customHeight="1">
      <c r="A158" s="27" t="inlineStr">
        <is>
          <t>armor_mortar</t>
        </is>
      </c>
      <c r="B158" s="27" t="inlineStr">
        <is>
          <t>装甲炮击</t>
        </is>
      </c>
      <c r="C158" s="27" t="inlineStr">
        <is>
          <t>帝国</t>
        </is>
      </c>
      <c r="D158" s="27" t="inlineStr">
        <is>
          <t>战术</t>
        </is>
      </c>
      <c r="E158" s="27" t="inlineStr">
        <is>
          <t>史诗</t>
        </is>
      </c>
      <c r="F158" s="6" t="n">
        <v>2</v>
      </c>
      <c r="G158" s="6" t="n"/>
      <c r="H158" s="6" t="n"/>
      <c r="I158" s="27" t="n">
        <v>2</v>
      </c>
      <c r="J158" s="28" t="n"/>
      <c r="K158" s="28" t="inlineStr">
        <is>
          <t>消耗 3 点护甲，对敌方领袖造成 5 点伤害。</t>
        </is>
      </c>
      <c r="L158" s="28" t="inlineStr">
        <is>
          <t>spell:armorToDamageFixed</t>
        </is>
      </c>
      <c r="M158" s="8" t="n">
        <v>2</v>
      </c>
      <c r="N158" s="8" t="n"/>
      <c r="O158" s="8" t="n"/>
      <c r="P158" s="29">
        <f>IF(OR(F158&lt;&gt;M158,IF(AND(G158="",N158=""),FALSE,G158&lt;&gt;N158),IF(AND(H158="",O158=""),FALSE,H158&lt;&gt;O158)),"已改","")</f>
        <v/>
      </c>
      <c r="Q158" s="29" t="inlineStr">
        <is>
          <t>可组</t>
        </is>
      </c>
      <c r="R158" s="28" t="n"/>
    </row>
    <row r="159" ht="28" customHeight="1">
      <c r="A159" s="27" t="inlineStr">
        <is>
          <t>armor_drive</t>
        </is>
      </c>
      <c r="B159" s="27" t="inlineStr">
        <is>
          <t>装甲动员</t>
        </is>
      </c>
      <c r="C159" s="27" t="inlineStr">
        <is>
          <t>帝国</t>
        </is>
      </c>
      <c r="D159" s="27" t="inlineStr">
        <is>
          <t>战术</t>
        </is>
      </c>
      <c r="E159" s="27" t="inlineStr">
        <is>
          <t>普通</t>
        </is>
      </c>
      <c r="F159" s="6" t="n">
        <v>2</v>
      </c>
      <c r="G159" s="6" t="n"/>
      <c r="H159" s="6" t="n"/>
      <c r="I159" s="27" t="n">
        <v>2</v>
      </c>
      <c r="J159" s="28" t="n"/>
      <c r="K159" s="28" t="inlineStr">
        <is>
          <t>获得 3 点护甲；若你已有护甲，再获得 3 点护甲。</t>
        </is>
      </c>
      <c r="L159" s="28" t="inlineStr">
        <is>
          <t>spell:armorIfArmored</t>
        </is>
      </c>
      <c r="M159" s="8" t="n">
        <v>2</v>
      </c>
      <c r="N159" s="8" t="n"/>
      <c r="O159" s="8" t="n"/>
      <c r="P159" s="29">
        <f>IF(OR(F159&lt;&gt;M159,IF(AND(G159="",N159=""),FALSE,G159&lt;&gt;N159),IF(AND(H159="",O159=""),FALSE,H159&lt;&gt;O159)),"已改","")</f>
        <v/>
      </c>
      <c r="Q159" s="29" t="inlineStr">
        <is>
          <t>可组</t>
        </is>
      </c>
      <c r="R159" s="28" t="n"/>
    </row>
    <row r="160" ht="28" customHeight="1">
      <c r="A160" s="27" t="inlineStr">
        <is>
          <t>mobilize</t>
        </is>
      </c>
      <c r="B160" s="27" t="inlineStr">
        <is>
          <t>全国动员</t>
        </is>
      </c>
      <c r="C160" s="27" t="inlineStr">
        <is>
          <t>帝国</t>
        </is>
      </c>
      <c r="D160" s="27" t="inlineStr">
        <is>
          <t>战术</t>
        </is>
      </c>
      <c r="E160" s="27" t="inlineStr">
        <is>
          <t>普通</t>
        </is>
      </c>
      <c r="F160" s="6" t="n">
        <v>3</v>
      </c>
      <c r="G160" s="6" t="n"/>
      <c r="H160" s="6" t="n"/>
      <c r="I160" s="27" t="n">
        <v>2</v>
      </c>
      <c r="J160" s="28" t="n"/>
      <c r="K160" s="28" t="inlineStr">
        <is>
          <t>抽 2 张牌。</t>
        </is>
      </c>
      <c r="L160" s="28" t="inlineStr">
        <is>
          <t>spell:draw</t>
        </is>
      </c>
      <c r="M160" s="8" t="n">
        <v>3</v>
      </c>
      <c r="N160" s="8" t="n"/>
      <c r="O160" s="8" t="n"/>
      <c r="P160" s="29">
        <f>IF(OR(F160&lt;&gt;M160,IF(AND(G160="",N160=""),FALSE,G160&lt;&gt;N160),IF(AND(H160="",O160=""),FALSE,H160&lt;&gt;O160)),"已改","")</f>
        <v/>
      </c>
      <c r="Q160" s="29" t="inlineStr">
        <is>
          <t>可组</t>
        </is>
      </c>
      <c r="R160" s="28" t="n"/>
    </row>
    <row r="161" ht="28" customHeight="1">
      <c r="A161" s="27" t="inlineStr">
        <is>
          <t>powder_keg</t>
        </is>
      </c>
      <c r="B161" s="27" t="inlineStr">
        <is>
          <t>火药桶</t>
        </is>
      </c>
      <c r="C161" s="27" t="inlineStr">
        <is>
          <t>帝国</t>
        </is>
      </c>
      <c r="D161" s="27" t="inlineStr">
        <is>
          <t>战术</t>
        </is>
      </c>
      <c r="E161" s="27" t="inlineStr">
        <is>
          <t>史诗</t>
        </is>
      </c>
      <c r="F161" s="6" t="n">
        <v>3</v>
      </c>
      <c r="G161" s="6" t="n"/>
      <c r="H161" s="6" t="n"/>
      <c r="I161" s="27" t="n">
        <v>2</v>
      </c>
      <c r="J161" s="28" t="n"/>
      <c r="K161" s="28" t="inlineStr">
        <is>
          <t>对所有随从造成 4 点伤害。</t>
        </is>
      </c>
      <c r="L161" s="28" t="inlineStr">
        <is>
          <t>spell:damageAllMinions</t>
        </is>
      </c>
      <c r="M161" s="8" t="n">
        <v>3</v>
      </c>
      <c r="N161" s="8" t="n"/>
      <c r="O161" s="8" t="n"/>
      <c r="P161" s="29">
        <f>IF(OR(F161&lt;&gt;M161,IF(AND(G161="",N161=""),FALSE,G161&lt;&gt;N161),IF(AND(H161="",O161=""),FALSE,H161&lt;&gt;O161)),"已改","")</f>
        <v/>
      </c>
      <c r="Q161" s="29" t="inlineStr">
        <is>
          <t>可组</t>
        </is>
      </c>
      <c r="R161" s="28" t="n"/>
    </row>
    <row r="162" ht="28" customHeight="1">
      <c r="A162" s="27" t="inlineStr">
        <is>
          <t>armor_recycle</t>
        </is>
      </c>
      <c r="B162" s="27" t="inlineStr">
        <is>
          <t>装甲回收</t>
        </is>
      </c>
      <c r="C162" s="27" t="inlineStr">
        <is>
          <t>帝国</t>
        </is>
      </c>
      <c r="D162" s="27" t="inlineStr">
        <is>
          <t>战术</t>
        </is>
      </c>
      <c r="E162" s="27" t="inlineStr">
        <is>
          <t>普通</t>
        </is>
      </c>
      <c r="F162" s="6" t="n">
        <v>3</v>
      </c>
      <c r="G162" s="6" t="n"/>
      <c r="H162" s="6" t="n"/>
      <c r="I162" s="27" t="n">
        <v>2</v>
      </c>
      <c r="J162" s="28" t="n"/>
      <c r="K162" s="28" t="inlineStr">
        <is>
          <t>获得 5 点护甲；抽 1 张牌。</t>
        </is>
      </c>
      <c r="L162" s="28" t="inlineStr">
        <is>
          <t>spell:armor</t>
        </is>
      </c>
      <c r="M162" s="8" t="n">
        <v>3</v>
      </c>
      <c r="N162" s="8" t="n"/>
      <c r="O162" s="8" t="n"/>
      <c r="P162" s="29">
        <f>IF(OR(F162&lt;&gt;M162,IF(AND(G162="",N162=""),FALSE,G162&lt;&gt;N162),IF(AND(H162="",O162=""),FALSE,H162&lt;&gt;O162)),"已改","")</f>
        <v/>
      </c>
      <c r="Q162" s="29" t="inlineStr">
        <is>
          <t>可组</t>
        </is>
      </c>
      <c r="R162" s="28" t="n"/>
    </row>
    <row r="163" ht="28" customHeight="1">
      <c r="A163" s="27" t="inlineStr">
        <is>
          <t>zone_barrage</t>
        </is>
      </c>
      <c r="B163" s="27" t="inlineStr">
        <is>
          <t>阵位齐射</t>
        </is>
      </c>
      <c r="C163" s="27" t="inlineStr">
        <is>
          <t>帝国</t>
        </is>
      </c>
      <c r="D163" s="27" t="inlineStr">
        <is>
          <t>战术</t>
        </is>
      </c>
      <c r="E163" s="27" t="inlineStr">
        <is>
          <t>史诗</t>
        </is>
      </c>
      <c r="F163" s="6" t="n">
        <v>4</v>
      </c>
      <c r="G163" s="6" t="n"/>
      <c r="H163" s="6" t="n"/>
      <c r="I163" s="27" t="n">
        <v>2</v>
      </c>
      <c r="J163" s="28" t="n"/>
      <c r="K163" s="28" t="inlineStr">
        <is>
          <t>对所有敌方随从造成 2 点伤害。</t>
        </is>
      </c>
      <c r="L163" s="28" t="inlineStr">
        <is>
          <t>spell:damageAllEnemies</t>
        </is>
      </c>
      <c r="M163" s="8" t="n">
        <v>4</v>
      </c>
      <c r="N163" s="8" t="n"/>
      <c r="O163" s="8" t="n"/>
      <c r="P163" s="29">
        <f>IF(OR(F163&lt;&gt;M163,IF(AND(G163="",N163=""),FALSE,G163&lt;&gt;N163),IF(AND(H163="",O163=""),FALSE,H163&lt;&gt;O163)),"已改","")</f>
        <v/>
      </c>
      <c r="Q163" s="29" t="inlineStr">
        <is>
          <t>可组</t>
        </is>
      </c>
      <c r="R163" s="28" t="n"/>
    </row>
    <row r="164" ht="28" customHeight="1">
      <c r="A164" s="27" t="inlineStr">
        <is>
          <t>armor_volley</t>
        </is>
      </c>
      <c r="B164" s="27" t="inlineStr">
        <is>
          <t>装甲齐射</t>
        </is>
      </c>
      <c r="C164" s="27" t="inlineStr">
        <is>
          <t>帝国</t>
        </is>
      </c>
      <c r="D164" s="27" t="inlineStr">
        <is>
          <t>战术</t>
        </is>
      </c>
      <c r="E164" s="27" t="inlineStr">
        <is>
          <t>史诗</t>
        </is>
      </c>
      <c r="F164" s="6" t="n">
        <v>6</v>
      </c>
      <c r="G164" s="6" t="n"/>
      <c r="H164" s="6" t="n"/>
      <c r="I164" s="27" t="n">
        <v>2</v>
      </c>
      <c r="J164" s="28" t="n"/>
      <c r="K164" s="28" t="inlineStr">
        <is>
          <t>对所有敌方随从造成等同于你护甲的伤害。</t>
        </is>
      </c>
      <c r="L164" s="28" t="inlineStr">
        <is>
          <t>spell:armorAoe</t>
        </is>
      </c>
      <c r="M164" s="8" t="n">
        <v>6</v>
      </c>
      <c r="N164" s="8" t="n"/>
      <c r="O164" s="8" t="n"/>
      <c r="P164" s="29">
        <f>IF(OR(F164&lt;&gt;M164,IF(AND(G164="",N164=""),FALSE,G164&lt;&gt;N164),IF(AND(H164="",O164=""),FALSE,H164&lt;&gt;O164)),"已改","")</f>
        <v/>
      </c>
      <c r="Q164" s="29" t="inlineStr">
        <is>
          <t>可组</t>
        </is>
      </c>
      <c r="R164" s="28" t="n"/>
    </row>
    <row r="165" ht="28" customHeight="1">
      <c r="A165" s="27" t="inlineStr">
        <is>
          <t>formation_cannon</t>
        </is>
      </c>
      <c r="B165" s="27" t="inlineStr">
        <is>
          <t>炮列阵线</t>
        </is>
      </c>
      <c r="C165" s="27" t="inlineStr">
        <is>
          <t>帝国</t>
        </is>
      </c>
      <c r="D165" s="27" t="inlineStr">
        <is>
          <t>阵型</t>
        </is>
      </c>
      <c r="E165" s="27" t="inlineStr">
        <is>
          <t>稀有</t>
        </is>
      </c>
      <c r="F165" s="6" t="n">
        <v>5</v>
      </c>
      <c r="G165" s="6" t="n"/>
      <c r="H165" s="6" t="n"/>
      <c r="I165" s="27" t="n">
        <v>2</v>
      </c>
      <c r="J165" s="28" t="n"/>
      <c r="K165" s="28" t="inlineStr">
        <is>
          <t>阵型：该阵位友方随从固定获得袭扰。</t>
        </is>
      </c>
      <c r="L165" s="28" t="n"/>
      <c r="M165" s="8" t="n">
        <v>5</v>
      </c>
      <c r="N165" s="8" t="n"/>
      <c r="O165" s="8" t="n"/>
      <c r="P165" s="29">
        <f>IF(OR(F165&lt;&gt;M165,IF(AND(G165="",N165=""),FALSE,G165&lt;&gt;N165),IF(AND(H165="",O165=""),FALSE,H165&lt;&gt;O165)),"已改","")</f>
        <v/>
      </c>
      <c r="Q165" s="29" t="inlineStr">
        <is>
          <t>可组</t>
        </is>
      </c>
      <c r="R165" s="28" t="n"/>
    </row>
    <row r="166" ht="28" customHeight="1">
      <c r="A166" s="27" t="inlineStr">
        <is>
          <t>powder_engine</t>
        </is>
      </c>
      <c r="B166" s="27" t="inlineStr">
        <is>
          <t>火药引擎</t>
        </is>
      </c>
      <c r="C166" s="27" t="inlineStr">
        <is>
          <t>帝国</t>
        </is>
      </c>
      <c r="D166" s="27" t="inlineStr">
        <is>
          <t>遗物</t>
        </is>
      </c>
      <c r="E166" s="27" t="inlineStr">
        <is>
          <t>史诗</t>
        </is>
      </c>
      <c r="F166" s="6" t="n">
        <v>3</v>
      </c>
      <c r="G166" s="6" t="n"/>
      <c r="H166" s="6" t="n"/>
      <c r="I166" s="27" t="n">
        <v>1</v>
      </c>
      <c r="J166" s="28" t="n"/>
      <c r="K166" s="28" t="inlineStr">
        <is>
          <t>遗物：每当一名友方随从死亡，随机对一名敌方单位造成 1 点伤害。</t>
        </is>
      </c>
      <c r="L166" s="28" t="n"/>
      <c r="M166" s="8" t="n">
        <v>3</v>
      </c>
      <c r="N166" s="8" t="n"/>
      <c r="O166" s="8" t="n"/>
      <c r="P166" s="29">
        <f>IF(OR(F166&lt;&gt;M166,IF(AND(G166="",N166=""),FALSE,G166&lt;&gt;N166),IF(AND(H166="",O166=""),FALSE,H166&lt;&gt;O166)),"已改","")</f>
        <v/>
      </c>
      <c r="Q166" s="30" t="inlineStr">
        <is>
          <t>遗物</t>
        </is>
      </c>
      <c r="R166" s="28" t="n"/>
    </row>
    <row r="167" ht="28" customHeight="1">
      <c r="A167" s="27" t="inlineStr">
        <is>
          <t>armor_forge</t>
        </is>
      </c>
      <c r="B167" s="27" t="inlineStr">
        <is>
          <t>帝国锻炉</t>
        </is>
      </c>
      <c r="C167" s="27" t="inlineStr">
        <is>
          <t>帝国</t>
        </is>
      </c>
      <c r="D167" s="27" t="inlineStr">
        <is>
          <t>遗物</t>
        </is>
      </c>
      <c r="E167" s="27" t="inlineStr">
        <is>
          <t>史诗</t>
        </is>
      </c>
      <c r="F167" s="6" t="n">
        <v>3</v>
      </c>
      <c r="G167" s="6" t="n"/>
      <c r="H167" s="6" t="n"/>
      <c r="I167" s="27" t="n">
        <v>1</v>
      </c>
      <c r="J167" s="28" t="n"/>
      <c r="K167" s="28" t="inlineStr">
        <is>
          <t>遗物：你的回合开始时获得 1 点护甲。</t>
        </is>
      </c>
      <c r="L167" s="28" t="n"/>
      <c r="M167" s="8" t="n">
        <v>3</v>
      </c>
      <c r="N167" s="8" t="n"/>
      <c r="O167" s="8" t="n"/>
      <c r="P167" s="29">
        <f>IF(OR(F167&lt;&gt;M167,IF(AND(G167="",N167=""),FALSE,G167&lt;&gt;N167),IF(AND(H167="",O167=""),FALSE,H167&lt;&gt;O167)),"已改","")</f>
        <v/>
      </c>
      <c r="Q167" s="30" t="inlineStr">
        <is>
          <t>遗物</t>
        </is>
      </c>
      <c r="R167" s="28" t="n"/>
    </row>
    <row r="168" ht="28" customHeight="1">
      <c r="A168" s="32" t="inlineStr">
        <is>
          <t>gh_cutthroat</t>
        </is>
      </c>
      <c r="B168" s="32" t="inlineStr">
        <is>
          <t>灰港小刀手</t>
        </is>
      </c>
      <c r="C168" s="32" t="inlineStr">
        <is>
          <t>灰港同盟</t>
        </is>
      </c>
      <c r="D168" s="32" t="inlineStr">
        <is>
          <t>随从</t>
        </is>
      </c>
      <c r="E168" s="32" t="inlineStr">
        <is>
          <t>普通</t>
        </is>
      </c>
      <c r="F168" s="6" t="n">
        <v>1</v>
      </c>
      <c r="G168" s="6" t="n">
        <v>1</v>
      </c>
      <c r="H168" s="6" t="n">
        <v>2</v>
      </c>
      <c r="I168" s="32" t="n">
        <v>2</v>
      </c>
      <c r="J168" s="33" t="inlineStr">
        <is>
          <t>袭扰</t>
        </is>
      </c>
      <c r="K168" s="33" t="inlineStr">
        <is>
          <t>袭扰。</t>
        </is>
      </c>
      <c r="L168" s="33" t="n"/>
      <c r="M168" s="8" t="n">
        <v>1</v>
      </c>
      <c r="N168" s="8" t="n">
        <v>1</v>
      </c>
      <c r="O168" s="8" t="n">
        <v>2</v>
      </c>
      <c r="P168" s="34">
        <f>IF(OR(F168&lt;&gt;M168,IF(AND(G168="",N168=""),FALSE,G168&lt;&gt;N168),IF(AND(H168="",O168=""),FALSE,H168&lt;&gt;O168)),"已改","")</f>
        <v/>
      </c>
      <c r="Q168" s="34" t="inlineStr">
        <is>
          <t>可组</t>
        </is>
      </c>
      <c r="R168" s="33" t="n"/>
    </row>
    <row r="169" ht="28" customHeight="1">
      <c r="A169" s="32" t="inlineStr">
        <is>
          <t>gh_venom_apprentice</t>
        </is>
      </c>
      <c r="B169" s="32" t="inlineStr">
        <is>
          <t>淬毒学徒</t>
        </is>
      </c>
      <c r="C169" s="32" t="inlineStr">
        <is>
          <t>灰港同盟</t>
        </is>
      </c>
      <c r="D169" s="32" t="inlineStr">
        <is>
          <t>随从</t>
        </is>
      </c>
      <c r="E169" s="32" t="inlineStr">
        <is>
          <t>普通</t>
        </is>
      </c>
      <c r="F169" s="6" t="n">
        <v>1</v>
      </c>
      <c r="G169" s="6" t="n">
        <v>1</v>
      </c>
      <c r="H169" s="6" t="n">
        <v>1</v>
      </c>
      <c r="I169" s="32" t="n">
        <v>2</v>
      </c>
      <c r="J169" s="33" t="inlineStr">
        <is>
          <t>蚀毒</t>
        </is>
      </c>
      <c r="K169" s="33" t="inlineStr">
        <is>
          <t>蚀毒。</t>
        </is>
      </c>
      <c r="L169" s="33" t="n"/>
      <c r="M169" s="8" t="n">
        <v>1</v>
      </c>
      <c r="N169" s="8" t="n">
        <v>1</v>
      </c>
      <c r="O169" s="8" t="n">
        <v>1</v>
      </c>
      <c r="P169" s="34">
        <f>IF(OR(F169&lt;&gt;M169,IF(AND(G169="",N169=""),FALSE,G169&lt;&gt;N169),IF(AND(H169="",O169=""),FALSE,H169&lt;&gt;O169)),"已改","")</f>
        <v/>
      </c>
      <c r="Q169" s="34" t="inlineStr">
        <is>
          <t>可组</t>
        </is>
      </c>
      <c r="R169" s="33" t="n"/>
    </row>
    <row r="170" ht="28" customHeight="1">
      <c r="A170" s="32" t="inlineStr">
        <is>
          <t>gh_contract_squire</t>
        </is>
      </c>
      <c r="B170" s="32" t="inlineStr">
        <is>
          <t>契约侍从</t>
        </is>
      </c>
      <c r="C170" s="32" t="inlineStr">
        <is>
          <t>灰港同盟</t>
        </is>
      </c>
      <c r="D170" s="32" t="inlineStr">
        <is>
          <t>随从</t>
        </is>
      </c>
      <c r="E170" s="32" t="inlineStr">
        <is>
          <t>普通</t>
        </is>
      </c>
      <c r="F170" s="6" t="n">
        <v>1</v>
      </c>
      <c r="G170" s="6" t="n">
        <v>1</v>
      </c>
      <c r="H170" s="6" t="n">
        <v>2</v>
      </c>
      <c r="I170" s="32" t="n">
        <v>2</v>
      </c>
      <c r="J170" s="33" t="inlineStr">
        <is>
          <t>护幕</t>
        </is>
      </c>
      <c r="K170" s="33" t="inlineStr">
        <is>
          <t>护幕。</t>
        </is>
      </c>
      <c r="L170" s="33" t="n"/>
      <c r="M170" s="8" t="n">
        <v>1</v>
      </c>
      <c r="N170" s="8" t="n">
        <v>1</v>
      </c>
      <c r="O170" s="8" t="n">
        <v>2</v>
      </c>
      <c r="P170" s="34">
        <f>IF(OR(F170&lt;&gt;M170,IF(AND(G170="",N170=""),FALSE,G170&lt;&gt;N170),IF(AND(H170="",O170=""),FALSE,H170&lt;&gt;O170)),"已改","")</f>
        <v/>
      </c>
      <c r="Q170" s="34" t="inlineStr">
        <is>
          <t>可组</t>
        </is>
      </c>
      <c r="R170" s="33" t="n"/>
    </row>
    <row r="171" ht="28" customHeight="1">
      <c r="A171" s="32" t="inlineStr">
        <is>
          <t>gh_poison_thrower</t>
        </is>
      </c>
      <c r="B171" s="32" t="inlineStr">
        <is>
          <t>毒刃投手</t>
        </is>
      </c>
      <c r="C171" s="32" t="inlineStr">
        <is>
          <t>灰港同盟</t>
        </is>
      </c>
      <c r="D171" s="32" t="inlineStr">
        <is>
          <t>随从</t>
        </is>
      </c>
      <c r="E171" s="32" t="inlineStr">
        <is>
          <t>普通</t>
        </is>
      </c>
      <c r="F171" s="6" t="n">
        <v>2</v>
      </c>
      <c r="G171" s="6" t="n">
        <v>2</v>
      </c>
      <c r="H171" s="6" t="n">
        <v>2</v>
      </c>
      <c r="I171" s="32" t="n">
        <v>2</v>
      </c>
      <c r="J171" s="33" t="inlineStr">
        <is>
          <t>蚀毒</t>
        </is>
      </c>
      <c r="K171" s="33" t="inlineStr">
        <is>
          <t>蚀毒。</t>
        </is>
      </c>
      <c r="L171" s="33" t="n"/>
      <c r="M171" s="8" t="n">
        <v>2</v>
      </c>
      <c r="N171" s="8" t="n">
        <v>2</v>
      </c>
      <c r="O171" s="8" t="n">
        <v>2</v>
      </c>
      <c r="P171" s="34">
        <f>IF(OR(F171&lt;&gt;M171,IF(AND(G171="",N171=""),FALSE,G171&lt;&gt;N171),IF(AND(H171="",O171=""),FALSE,H171&lt;&gt;O171)),"已改","")</f>
        <v/>
      </c>
      <c r="Q171" s="34" t="inlineStr">
        <is>
          <t>可组</t>
        </is>
      </c>
      <c r="R171" s="33" t="n"/>
    </row>
    <row r="172" ht="28" customHeight="1">
      <c r="A172" s="32" t="inlineStr">
        <is>
          <t>gh_rush_archer</t>
        </is>
      </c>
      <c r="B172" s="32" t="inlineStr">
        <is>
          <t>袭扰弓手</t>
        </is>
      </c>
      <c r="C172" s="32" t="inlineStr">
        <is>
          <t>灰港同盟</t>
        </is>
      </c>
      <c r="D172" s="32" t="inlineStr">
        <is>
          <t>随从</t>
        </is>
      </c>
      <c r="E172" s="32" t="inlineStr">
        <is>
          <t>普通</t>
        </is>
      </c>
      <c r="F172" s="6" t="n">
        <v>2</v>
      </c>
      <c r="G172" s="6" t="n">
        <v>2</v>
      </c>
      <c r="H172" s="6" t="n">
        <v>2</v>
      </c>
      <c r="I172" s="32" t="n">
        <v>2</v>
      </c>
      <c r="J172" s="33" t="inlineStr">
        <is>
          <t>袭扰</t>
        </is>
      </c>
      <c r="K172" s="33" t="inlineStr">
        <is>
          <t>袭扰。</t>
        </is>
      </c>
      <c r="L172" s="33" t="n"/>
      <c r="M172" s="8" t="n">
        <v>2</v>
      </c>
      <c r="N172" s="8" t="n">
        <v>2</v>
      </c>
      <c r="O172" s="8" t="n">
        <v>2</v>
      </c>
      <c r="P172" s="34">
        <f>IF(OR(F172&lt;&gt;M172,IF(AND(G172="",N172=""),FALSE,G172&lt;&gt;N172),IF(AND(H172="",O172=""),FALSE,H172&lt;&gt;O172)),"已改","")</f>
        <v/>
      </c>
      <c r="Q172" s="34" t="inlineStr">
        <is>
          <t>可组</t>
        </is>
      </c>
      <c r="R172" s="33" t="n"/>
    </row>
    <row r="173" ht="28" customHeight="1">
      <c r="A173" s="32" t="inlineStr">
        <is>
          <t>gh_bounty_hunter</t>
        </is>
      </c>
      <c r="B173" s="32" t="inlineStr">
        <is>
          <t>赏金猎人</t>
        </is>
      </c>
      <c r="C173" s="32" t="inlineStr">
        <is>
          <t>灰港同盟</t>
        </is>
      </c>
      <c r="D173" s="32" t="inlineStr">
        <is>
          <t>随从</t>
        </is>
      </c>
      <c r="E173" s="32" t="inlineStr">
        <is>
          <t>稀有</t>
        </is>
      </c>
      <c r="F173" s="6" t="n">
        <v>2</v>
      </c>
      <c r="G173" s="6" t="n">
        <v>2</v>
      </c>
      <c r="H173" s="6" t="n">
        <v>3</v>
      </c>
      <c r="I173" s="32" t="n">
        <v>2</v>
      </c>
      <c r="J173" s="33" t="inlineStr">
        <is>
          <t>登场</t>
        </is>
      </c>
      <c r="K173" s="33" t="inlineStr">
        <is>
          <t>登场：将一个敌方随从列入悬赏名单。</t>
        </is>
      </c>
      <c r="L173" s="33" t="inlineStr">
        <is>
          <t>battlecry:markBounty</t>
        </is>
      </c>
      <c r="M173" s="8" t="n">
        <v>2</v>
      </c>
      <c r="N173" s="8" t="n">
        <v>2</v>
      </c>
      <c r="O173" s="8" t="n">
        <v>3</v>
      </c>
      <c r="P173" s="34">
        <f>IF(OR(F173&lt;&gt;M173,IF(AND(G173="",N173=""),FALSE,G173&lt;&gt;N173),IF(AND(H173="",O173=""),FALSE,H173&lt;&gt;O173)),"已改","")</f>
        <v/>
      </c>
      <c r="Q173" s="34" t="inlineStr">
        <is>
          <t>可组</t>
        </is>
      </c>
      <c r="R173" s="33" t="n"/>
    </row>
    <row r="174" ht="28" customHeight="1">
      <c r="A174" s="32" t="inlineStr">
        <is>
          <t>gh_silencer</t>
        </is>
      </c>
      <c r="B174" s="32" t="inlineStr">
        <is>
          <t>封口人</t>
        </is>
      </c>
      <c r="C174" s="32" t="inlineStr">
        <is>
          <t>灰港同盟</t>
        </is>
      </c>
      <c r="D174" s="32" t="inlineStr">
        <is>
          <t>随从</t>
        </is>
      </c>
      <c r="E174" s="32" t="inlineStr">
        <is>
          <t>普通</t>
        </is>
      </c>
      <c r="F174" s="6" t="n">
        <v>3</v>
      </c>
      <c r="G174" s="6" t="n">
        <v>2</v>
      </c>
      <c r="H174" s="6" t="n">
        <v>1</v>
      </c>
      <c r="I174" s="32" t="n">
        <v>2</v>
      </c>
      <c r="J174" s="33" t="inlineStr">
        <is>
          <t>登场</t>
        </is>
      </c>
      <c r="K174" s="33" t="inlineStr">
        <is>
          <t>登场：沉默一个敌方随从。</t>
        </is>
      </c>
      <c r="L174" s="33" t="inlineStr">
        <is>
          <t>battlecry:silence</t>
        </is>
      </c>
      <c r="M174" s="8" t="n">
        <v>3</v>
      </c>
      <c r="N174" s="8" t="n">
        <v>2</v>
      </c>
      <c r="O174" s="8" t="n">
        <v>1</v>
      </c>
      <c r="P174" s="34">
        <f>IF(OR(F174&lt;&gt;M174,IF(AND(G174="",N174=""),FALSE,G174&lt;&gt;N174),IF(AND(H174="",O174=""),FALSE,H174&lt;&gt;O174)),"已改","")</f>
        <v/>
      </c>
      <c r="Q174" s="34" t="inlineStr">
        <is>
          <t>可组</t>
        </is>
      </c>
      <c r="R174" s="33" t="n"/>
    </row>
    <row r="175" ht="28" customHeight="1">
      <c r="A175" s="32" t="inlineStr">
        <is>
          <t>gh_venom_shield</t>
        </is>
      </c>
      <c r="B175" s="32" t="inlineStr">
        <is>
          <t>毒盾刺客</t>
        </is>
      </c>
      <c r="C175" s="32" t="inlineStr">
        <is>
          <t>灰港同盟</t>
        </is>
      </c>
      <c r="D175" s="32" t="inlineStr">
        <is>
          <t>随从</t>
        </is>
      </c>
      <c r="E175" s="32" t="inlineStr">
        <is>
          <t>稀有</t>
        </is>
      </c>
      <c r="F175" s="6" t="n">
        <v>3</v>
      </c>
      <c r="G175" s="6" t="n">
        <v>2</v>
      </c>
      <c r="H175" s="6" t="n">
        <v>2</v>
      </c>
      <c r="I175" s="32" t="n">
        <v>2</v>
      </c>
      <c r="J175" s="33" t="inlineStr">
        <is>
          <t>护幕、蚀毒</t>
        </is>
      </c>
      <c r="K175" s="33" t="inlineStr">
        <is>
          <t>护幕。蚀毒。</t>
        </is>
      </c>
      <c r="L175" s="33" t="n"/>
      <c r="M175" s="8" t="n">
        <v>3</v>
      </c>
      <c r="N175" s="8" t="n">
        <v>2</v>
      </c>
      <c r="O175" s="8" t="n">
        <v>2</v>
      </c>
      <c r="P175" s="34">
        <f>IF(OR(F175&lt;&gt;M175,IF(AND(G175="",N175=""),FALSE,G175&lt;&gt;N175),IF(AND(H175="",O175=""),FALSE,H175&lt;&gt;O175)),"已改","")</f>
        <v/>
      </c>
      <c r="Q175" s="34" t="inlineStr">
        <is>
          <t>可组</t>
        </is>
      </c>
      <c r="R175" s="33" t="n"/>
    </row>
    <row r="176" ht="28" customHeight="1">
      <c r="A176" s="32" t="inlineStr">
        <is>
          <t>gh_shield_mercenary</t>
        </is>
      </c>
      <c r="B176" s="32" t="inlineStr">
        <is>
          <t>护幕佣兵</t>
        </is>
      </c>
      <c r="C176" s="32" t="inlineStr">
        <is>
          <t>灰港同盟</t>
        </is>
      </c>
      <c r="D176" s="32" t="inlineStr">
        <is>
          <t>随从</t>
        </is>
      </c>
      <c r="E176" s="32" t="inlineStr">
        <is>
          <t>普通</t>
        </is>
      </c>
      <c r="F176" s="6" t="n">
        <v>3</v>
      </c>
      <c r="G176" s="6" t="n">
        <v>3</v>
      </c>
      <c r="H176" s="6" t="n">
        <v>3</v>
      </c>
      <c r="I176" s="32" t="n">
        <v>2</v>
      </c>
      <c r="J176" s="33" t="inlineStr">
        <is>
          <t>护幕</t>
        </is>
      </c>
      <c r="K176" s="33" t="inlineStr">
        <is>
          <t>护幕。</t>
        </is>
      </c>
      <c r="L176" s="33" t="n"/>
      <c r="M176" s="8" t="n">
        <v>3</v>
      </c>
      <c r="N176" s="8" t="n">
        <v>3</v>
      </c>
      <c r="O176" s="8" t="n">
        <v>3</v>
      </c>
      <c r="P176" s="34">
        <f>IF(OR(F176&lt;&gt;M176,IF(AND(G176="",N176=""),FALSE,G176&lt;&gt;N176),IF(AND(H176="",O176=""),FALSE,H176&lt;&gt;O176)),"已改","")</f>
        <v/>
      </c>
      <c r="Q176" s="34" t="inlineStr">
        <is>
          <t>可组</t>
        </is>
      </c>
      <c r="R176" s="33" t="n"/>
    </row>
    <row r="177" ht="28" customHeight="1">
      <c r="A177" s="32" t="inlineStr">
        <is>
          <t>gh_silence_expert</t>
        </is>
      </c>
      <c r="B177" s="32" t="inlineStr">
        <is>
          <t>封口专家</t>
        </is>
      </c>
      <c r="C177" s="32" t="inlineStr">
        <is>
          <t>灰港同盟</t>
        </is>
      </c>
      <c r="D177" s="32" t="inlineStr">
        <is>
          <t>随从</t>
        </is>
      </c>
      <c r="E177" s="32" t="inlineStr">
        <is>
          <t>稀有</t>
        </is>
      </c>
      <c r="F177" s="6" t="n">
        <v>4</v>
      </c>
      <c r="G177" s="6" t="n">
        <v>4</v>
      </c>
      <c r="H177" s="6" t="n">
        <v>3</v>
      </c>
      <c r="I177" s="32" t="n">
        <v>2</v>
      </c>
      <c r="J177" s="33" t="inlineStr">
        <is>
          <t>登场</t>
        </is>
      </c>
      <c r="K177" s="33" t="inlineStr">
        <is>
          <t>登场：沉默一个敌方随从。</t>
        </is>
      </c>
      <c r="L177" s="33" t="inlineStr">
        <is>
          <t>battlecry:silence</t>
        </is>
      </c>
      <c r="M177" s="8" t="n">
        <v>4</v>
      </c>
      <c r="N177" s="8" t="n">
        <v>4</v>
      </c>
      <c r="O177" s="8" t="n">
        <v>3</v>
      </c>
      <c r="P177" s="34">
        <f>IF(OR(F177&lt;&gt;M177,IF(AND(G177="",N177=""),FALSE,G177&lt;&gt;N177),IF(AND(H177="",O177=""),FALSE,H177&lt;&gt;O177)),"已改","")</f>
        <v/>
      </c>
      <c r="Q177" s="34" t="inlineStr">
        <is>
          <t>可组</t>
        </is>
      </c>
      <c r="R177" s="33" t="n"/>
    </row>
    <row r="178" ht="28" customHeight="1">
      <c r="A178" s="32" t="inlineStr">
        <is>
          <t>gh_legend_assassin</t>
        </is>
      </c>
      <c r="B178" s="32" t="inlineStr">
        <is>
          <t>传奇刺客</t>
        </is>
      </c>
      <c r="C178" s="32" t="inlineStr">
        <is>
          <t>灰港同盟</t>
        </is>
      </c>
      <c r="D178" s="32" t="inlineStr">
        <is>
          <t>随从</t>
        </is>
      </c>
      <c r="E178" s="32" t="inlineStr">
        <is>
          <t>传说</t>
        </is>
      </c>
      <c r="F178" s="6" t="n">
        <v>4</v>
      </c>
      <c r="G178" s="6" t="n">
        <v>2</v>
      </c>
      <c r="H178" s="6" t="n">
        <v>5</v>
      </c>
      <c r="I178" s="32" t="n">
        <v>1</v>
      </c>
      <c r="J178" s="33" t="inlineStr">
        <is>
          <t>袭扰</t>
        </is>
      </c>
      <c r="K178" s="33" t="inlineStr">
        <is>
          <t>袭扰。登场：对方每有一个随从数量小于 2 的阵位，获得 +1/+0。</t>
        </is>
      </c>
      <c r="L178" s="33" t="inlineStr">
        <is>
          <t>battlecry:buffPerUnderfilledZone</t>
        </is>
      </c>
      <c r="M178" s="8" t="n">
        <v>4</v>
      </c>
      <c r="N178" s="8" t="n">
        <v>2</v>
      </c>
      <c r="O178" s="8" t="n">
        <v>5</v>
      </c>
      <c r="P178" s="34">
        <f>IF(OR(F178&lt;&gt;M178,IF(AND(G178="",N178=""),FALSE,G178&lt;&gt;N178),IF(AND(H178="",O178=""),FALSE,H178&lt;&gt;O178)),"已改","")</f>
        <v/>
      </c>
      <c r="Q178" s="34" t="inlineStr">
        <is>
          <t>可组</t>
        </is>
      </c>
      <c r="R178" s="33" t="n"/>
    </row>
    <row r="179" ht="28" customHeight="1">
      <c r="A179" s="32" t="inlineStr">
        <is>
          <t>gh_shield_broker</t>
        </is>
      </c>
      <c r="B179" s="32" t="inlineStr">
        <is>
          <t>悬赏掮客</t>
        </is>
      </c>
      <c r="C179" s="32" t="inlineStr">
        <is>
          <t>灰港同盟</t>
        </is>
      </c>
      <c r="D179" s="32" t="inlineStr">
        <is>
          <t>随从</t>
        </is>
      </c>
      <c r="E179" s="32" t="inlineStr">
        <is>
          <t>史诗</t>
        </is>
      </c>
      <c r="F179" s="6" t="n">
        <v>4</v>
      </c>
      <c r="G179" s="6" t="n">
        <v>2</v>
      </c>
      <c r="H179" s="6" t="n">
        <v>5</v>
      </c>
      <c r="I179" s="32" t="n">
        <v>2</v>
      </c>
      <c r="J179" s="33" t="inlineStr">
        <is>
          <t>登场、被动</t>
        </is>
      </c>
      <c r="K179" s="33" t="inlineStr">
        <is>
          <t>登场：将一个敌方随从列入悬赏名单。被动：你的回合结束时，将一个敌方随从列入悬赏名单。</t>
        </is>
      </c>
      <c r="L179" s="33" t="inlineStr">
        <is>
          <t>battlecry:markBounty；passive:endTurnMarkBounty</t>
        </is>
      </c>
      <c r="M179" s="8" t="n">
        <v>4</v>
      </c>
      <c r="N179" s="8" t="n">
        <v>2</v>
      </c>
      <c r="O179" s="8" t="n">
        <v>5</v>
      </c>
      <c r="P179" s="34">
        <f>IF(OR(F179&lt;&gt;M179,IF(AND(G179="",N179=""),FALSE,G179&lt;&gt;N179),IF(AND(H179="",O179=""),FALSE,H179&lt;&gt;O179)),"已改","")</f>
        <v/>
      </c>
      <c r="Q179" s="34" t="inlineStr">
        <is>
          <t>可组</t>
        </is>
      </c>
      <c r="R179" s="33" t="n"/>
    </row>
    <row r="180" ht="28" customHeight="1">
      <c r="A180" s="32" t="inlineStr">
        <is>
          <t>gh_bounty_collector</t>
        </is>
      </c>
      <c r="B180" s="32" t="inlineStr">
        <is>
          <t>赏金猎手</t>
        </is>
      </c>
      <c r="C180" s="32" t="inlineStr">
        <is>
          <t>灰港同盟</t>
        </is>
      </c>
      <c r="D180" s="32" t="inlineStr">
        <is>
          <t>随从</t>
        </is>
      </c>
      <c r="E180" s="32" t="inlineStr">
        <is>
          <t>史诗</t>
        </is>
      </c>
      <c r="F180" s="6" t="n">
        <v>4</v>
      </c>
      <c r="G180" s="6" t="n">
        <v>3</v>
      </c>
      <c r="H180" s="6" t="n">
        <v>4</v>
      </c>
      <c r="I180" s="32" t="n">
        <v>2</v>
      </c>
      <c r="J180" s="33" t="inlineStr">
        <is>
          <t>袭扰</t>
        </is>
      </c>
      <c r="K180" s="33" t="inlineStr">
        <is>
          <t>袭扰。被动：每完成一次悬赏，获得 +1/+1。</t>
        </is>
      </c>
      <c r="L180" s="33" t="inlineStr">
        <is>
          <t>passive:bountyClaimGrowth</t>
        </is>
      </c>
      <c r="M180" s="8" t="n">
        <v>4</v>
      </c>
      <c r="N180" s="8" t="n">
        <v>3</v>
      </c>
      <c r="O180" s="8" t="n">
        <v>4</v>
      </c>
      <c r="P180" s="34">
        <f>IF(OR(F180&lt;&gt;M180,IF(AND(G180="",N180=""),FALSE,G180&lt;&gt;N180),IF(AND(H180="",O180=""),FALSE,H180&lt;&gt;O180)),"已改","")</f>
        <v/>
      </c>
      <c r="Q180" s="34" t="inlineStr">
        <is>
          <t>可组</t>
        </is>
      </c>
      <c r="R180" s="33" t="n"/>
    </row>
    <row r="181" ht="28" customHeight="1">
      <c r="A181" s="32" t="inlineStr">
        <is>
          <t>gh_scorpion</t>
        </is>
      </c>
      <c r="B181" s="32" t="inlineStr">
        <is>
          <t>巨蝎</t>
        </is>
      </c>
      <c r="C181" s="32" t="inlineStr">
        <is>
          <t>灰港同盟</t>
        </is>
      </c>
      <c r="D181" s="32" t="inlineStr">
        <is>
          <t>随从</t>
        </is>
      </c>
      <c r="E181" s="32" t="inlineStr">
        <is>
          <t>史诗</t>
        </is>
      </c>
      <c r="F181" s="6" t="n">
        <v>5</v>
      </c>
      <c r="G181" s="6" t="n">
        <v>3</v>
      </c>
      <c r="H181" s="6" t="n">
        <v>4</v>
      </c>
      <c r="I181" s="32" t="n">
        <v>2</v>
      </c>
      <c r="J181" s="33" t="inlineStr">
        <is>
          <t>蚀毒</t>
        </is>
      </c>
      <c r="K181" s="33" t="inlineStr">
        <is>
          <t>蚀毒。每当该随从消灭一个敌方单位，获得 +0/+1 和隐匿。</t>
        </is>
      </c>
      <c r="L181" s="33" t="inlineStr">
        <is>
          <t>passive:onKillGrowthStealth</t>
        </is>
      </c>
      <c r="M181" s="8" t="n">
        <v>5</v>
      </c>
      <c r="N181" s="8" t="n">
        <v>3</v>
      </c>
      <c r="O181" s="8" t="n">
        <v>4</v>
      </c>
      <c r="P181" s="34">
        <f>IF(OR(F181&lt;&gt;M181,IF(AND(G181="",N181=""),FALSE,G181&lt;&gt;N181),IF(AND(H181="",O181=""),FALSE,H181&lt;&gt;O181)),"已改","")</f>
        <v/>
      </c>
      <c r="Q181" s="34" t="inlineStr">
        <is>
          <t>可组</t>
        </is>
      </c>
      <c r="R181" s="33" t="n"/>
    </row>
    <row r="182" ht="28" customHeight="1">
      <c r="A182" s="32" t="inlineStr">
        <is>
          <t>gh_captain</t>
        </is>
      </c>
      <c r="B182" s="32" t="inlineStr">
        <is>
          <t>佣兵头目</t>
        </is>
      </c>
      <c r="C182" s="32" t="inlineStr">
        <is>
          <t>灰港同盟</t>
        </is>
      </c>
      <c r="D182" s="32" t="inlineStr">
        <is>
          <t>随从</t>
        </is>
      </c>
      <c r="E182" s="32" t="inlineStr">
        <is>
          <t>传说</t>
        </is>
      </c>
      <c r="F182" s="6" t="n">
        <v>5</v>
      </c>
      <c r="G182" s="6" t="n">
        <v>6</v>
      </c>
      <c r="H182" s="6" t="n">
        <v>6</v>
      </c>
      <c r="I182" s="32" t="n">
        <v>1</v>
      </c>
      <c r="J182" s="33" t="inlineStr">
        <is>
          <t>登场</t>
        </is>
      </c>
      <c r="K182" s="33" t="inlineStr">
        <is>
          <t>登场：使所有友方随从获得袭扰。</t>
        </is>
      </c>
      <c r="L182" s="33" t="inlineStr">
        <is>
          <t>battlecry:grantRushAll</t>
        </is>
      </c>
      <c r="M182" s="8" t="n">
        <v>5</v>
      </c>
      <c r="N182" s="8" t="n">
        <v>6</v>
      </c>
      <c r="O182" s="8" t="n">
        <v>6</v>
      </c>
      <c r="P182" s="34">
        <f>IF(OR(F182&lt;&gt;M182,IF(AND(G182="",N182=""),FALSE,G182&lt;&gt;N182),IF(AND(H182="",O182=""),FALSE,H182&lt;&gt;O182)),"已改","")</f>
        <v/>
      </c>
      <c r="Q182" s="34" t="inlineStr">
        <is>
          <t>可组</t>
        </is>
      </c>
      <c r="R182" s="33" t="n"/>
    </row>
    <row r="183" ht="28" customHeight="1">
      <c r="A183" s="32" t="inlineStr">
        <is>
          <t>gh_silence_master</t>
        </is>
      </c>
      <c r="B183" s="32" t="inlineStr">
        <is>
          <t>封口大师</t>
        </is>
      </c>
      <c r="C183" s="32" t="inlineStr">
        <is>
          <t>灰港同盟</t>
        </is>
      </c>
      <c r="D183" s="32" t="inlineStr">
        <is>
          <t>随从</t>
        </is>
      </c>
      <c r="E183" s="32" t="inlineStr">
        <is>
          <t>史诗</t>
        </is>
      </c>
      <c r="F183" s="6" t="n">
        <v>5</v>
      </c>
      <c r="G183" s="6" t="n">
        <v>3</v>
      </c>
      <c r="H183" s="6" t="n">
        <v>4</v>
      </c>
      <c r="I183" s="32" t="n">
        <v>2</v>
      </c>
      <c r="J183" s="33" t="inlineStr">
        <is>
          <t>登场</t>
        </is>
      </c>
      <c r="K183" s="33" t="inlineStr">
        <is>
          <t>登场：沉默所有敌方随从。</t>
        </is>
      </c>
      <c r="L183" s="33" t="inlineStr">
        <is>
          <t>battlecry:silenceAllEnemies</t>
        </is>
      </c>
      <c r="M183" s="8" t="n">
        <v>5</v>
      </c>
      <c r="N183" s="8" t="n">
        <v>3</v>
      </c>
      <c r="O183" s="8" t="n">
        <v>4</v>
      </c>
      <c r="P183" s="34">
        <f>IF(OR(F183&lt;&gt;M183,IF(AND(G183="",N183=""),FALSE,G183&lt;&gt;N183),IF(AND(H183="",O183=""),FALSE,H183&lt;&gt;O183)),"已改","")</f>
        <v/>
      </c>
      <c r="Q183" s="34" t="inlineStr">
        <is>
          <t>可组</t>
        </is>
      </c>
      <c r="R183" s="33" t="n"/>
    </row>
    <row r="184" ht="28" customHeight="1">
      <c r="A184" s="32" t="inlineStr">
        <is>
          <t>gh_field_medic</t>
        </is>
      </c>
      <c r="B184" s="32" t="inlineStr">
        <is>
          <t>灰港医师</t>
        </is>
      </c>
      <c r="C184" s="32" t="inlineStr">
        <is>
          <t>灰港同盟</t>
        </is>
      </c>
      <c r="D184" s="32" t="inlineStr">
        <is>
          <t>随从</t>
        </is>
      </c>
      <c r="E184" s="32" t="inlineStr">
        <is>
          <t>史诗</t>
        </is>
      </c>
      <c r="F184" s="6" t="n">
        <v>5</v>
      </c>
      <c r="G184" s="6" t="n">
        <v>3</v>
      </c>
      <c r="H184" s="6" t="n">
        <v>3</v>
      </c>
      <c r="I184" s="32" t="n">
        <v>2</v>
      </c>
      <c r="J184" s="33" t="inlineStr">
        <is>
          <t>登场</t>
        </is>
      </c>
      <c r="K184" s="33" t="inlineStr">
        <is>
          <t>登场：恢复你的领袖 8 点生命。</t>
        </is>
      </c>
      <c r="L184" s="33" t="inlineStr">
        <is>
          <t>battlecry:healHero</t>
        </is>
      </c>
      <c r="M184" s="8" t="n">
        <v>5</v>
      </c>
      <c r="N184" s="8" t="n">
        <v>3</v>
      </c>
      <c r="O184" s="8" t="n">
        <v>3</v>
      </c>
      <c r="P184" s="34">
        <f>IF(OR(F184&lt;&gt;M184,IF(AND(G184="",N184=""),FALSE,G184&lt;&gt;N184),IF(AND(H184="",O184=""),FALSE,H184&lt;&gt;O184)),"已改","")</f>
        <v/>
      </c>
      <c r="Q184" s="34" t="inlineStr">
        <is>
          <t>可组</t>
        </is>
      </c>
      <c r="R184" s="33" t="n"/>
    </row>
    <row r="185" ht="28" customHeight="1">
      <c r="A185" s="32" t="inlineStr">
        <is>
          <t>gh_company</t>
        </is>
      </c>
      <c r="B185" s="32" t="inlineStr">
        <is>
          <t>佣兵团长</t>
        </is>
      </c>
      <c r="C185" s="32" t="inlineStr">
        <is>
          <t>灰港同盟</t>
        </is>
      </c>
      <c r="D185" s="32" t="inlineStr">
        <is>
          <t>随从</t>
        </is>
      </c>
      <c r="E185" s="32" t="inlineStr">
        <is>
          <t>史诗</t>
        </is>
      </c>
      <c r="F185" s="6" t="n">
        <v>6</v>
      </c>
      <c r="G185" s="6" t="n">
        <v>5</v>
      </c>
      <c r="H185" s="6" t="n">
        <v>6</v>
      </c>
      <c r="I185" s="32" t="n">
        <v>2</v>
      </c>
      <c r="J185" s="33" t="inlineStr">
        <is>
          <t>登场</t>
        </is>
      </c>
      <c r="K185" s="33" t="inlineStr">
        <is>
          <t>登场：随机将两个敌方随从列入悬赏名单。</t>
        </is>
      </c>
      <c r="L185" s="33" t="inlineStr">
        <is>
          <t>battlecry:markRandomBounties</t>
        </is>
      </c>
      <c r="M185" s="8" t="n">
        <v>6</v>
      </c>
      <c r="N185" s="8" t="n">
        <v>5</v>
      </c>
      <c r="O185" s="8" t="n">
        <v>6</v>
      </c>
      <c r="P185" s="34">
        <f>IF(OR(F185&lt;&gt;M185,IF(AND(G185="",N185=""),FALSE,G185&lt;&gt;N185),IF(AND(H185="",O185=""),FALSE,H185&lt;&gt;O185)),"已改","")</f>
        <v/>
      </c>
      <c r="Q185" s="34" t="inlineStr">
        <is>
          <t>可组</t>
        </is>
      </c>
      <c r="R185" s="33" t="n"/>
    </row>
    <row r="186" ht="28" customHeight="1">
      <c r="A186" s="32" t="inlineStr">
        <is>
          <t>gh_venom_behemoth</t>
        </is>
      </c>
      <c r="B186" s="32" t="inlineStr">
        <is>
          <t>毒潮巨兽</t>
        </is>
      </c>
      <c r="C186" s="32" t="inlineStr">
        <is>
          <t>灰港同盟</t>
        </is>
      </c>
      <c r="D186" s="32" t="inlineStr">
        <is>
          <t>随从</t>
        </is>
      </c>
      <c r="E186" s="32" t="inlineStr">
        <is>
          <t>史诗</t>
        </is>
      </c>
      <c r="F186" s="6" t="n">
        <v>7</v>
      </c>
      <c r="G186" s="6" t="n">
        <v>2</v>
      </c>
      <c r="H186" s="6" t="n">
        <v>8</v>
      </c>
      <c r="I186" s="32" t="n">
        <v>2</v>
      </c>
      <c r="J186" s="33" t="inlineStr">
        <is>
          <t>袭扰、蚀毒</t>
        </is>
      </c>
      <c r="K186" s="33" t="inlineStr">
        <is>
          <t>袭扰。蚀毒。</t>
        </is>
      </c>
      <c r="L186" s="33" t="n"/>
      <c r="M186" s="8" t="n">
        <v>7</v>
      </c>
      <c r="N186" s="8" t="n">
        <v>2</v>
      </c>
      <c r="O186" s="8" t="n">
        <v>8</v>
      </c>
      <c r="P186" s="34">
        <f>IF(OR(F186&lt;&gt;M186,IF(AND(G186="",N186=""),FALSE,G186&lt;&gt;N186),IF(AND(H186="",O186=""),FALSE,H186&lt;&gt;O186)),"已改","")</f>
        <v/>
      </c>
      <c r="Q186" s="34" t="inlineStr">
        <is>
          <t>可组</t>
        </is>
      </c>
      <c r="R186" s="33" t="n"/>
    </row>
    <row r="187" ht="28" customHeight="1">
      <c r="A187" s="32" t="inlineStr">
        <is>
          <t>gh_bounty_king</t>
        </is>
      </c>
      <c r="B187" s="32" t="inlineStr">
        <is>
          <t>赏金王</t>
        </is>
      </c>
      <c r="C187" s="32" t="inlineStr">
        <is>
          <t>灰港同盟</t>
        </is>
      </c>
      <c r="D187" s="32" t="inlineStr">
        <is>
          <t>随从</t>
        </is>
      </c>
      <c r="E187" s="32" t="inlineStr">
        <is>
          <t>传说</t>
        </is>
      </c>
      <c r="F187" s="6" t="n">
        <v>8</v>
      </c>
      <c r="G187" s="6" t="n">
        <v>8</v>
      </c>
      <c r="H187" s="6" t="n">
        <v>8</v>
      </c>
      <c r="I187" s="32" t="n">
        <v>1</v>
      </c>
      <c r="J187" s="33" t="inlineStr">
        <is>
          <t>登场</t>
        </is>
      </c>
      <c r="K187" s="33" t="inlineStr">
        <is>
          <t>登场：对随机敌人造成 2 点伤害；本局每完成一次悬赏，重复一次。</t>
        </is>
      </c>
      <c r="L187" s="33" t="inlineStr">
        <is>
          <t>battlecry:bountyClaimVolley</t>
        </is>
      </c>
      <c r="M187" s="8" t="n">
        <v>8</v>
      </c>
      <c r="N187" s="8" t="n">
        <v>8</v>
      </c>
      <c r="O187" s="8" t="n">
        <v>8</v>
      </c>
      <c r="P187" s="34">
        <f>IF(OR(F187&lt;&gt;M187,IF(AND(G187="",N187=""),FALSE,G187&lt;&gt;N187),IF(AND(H187="",O187=""),FALSE,H187&lt;&gt;O187)),"已改","")</f>
        <v/>
      </c>
      <c r="Q187" s="34" t="inlineStr">
        <is>
          <t>可组</t>
        </is>
      </c>
      <c r="R187" s="33" t="n"/>
    </row>
    <row r="188" ht="28" customHeight="1">
      <c r="A188" s="32" t="inlineStr">
        <is>
          <t>gh_bounty_notice</t>
        </is>
      </c>
      <c r="B188" s="32" t="inlineStr">
        <is>
          <t>悬赏告示</t>
        </is>
      </c>
      <c r="C188" s="32" t="inlineStr">
        <is>
          <t>灰港同盟</t>
        </is>
      </c>
      <c r="D188" s="32" t="inlineStr">
        <is>
          <t>战术</t>
        </is>
      </c>
      <c r="E188" s="32" t="inlineStr">
        <is>
          <t>普通</t>
        </is>
      </c>
      <c r="F188" s="6" t="n">
        <v>1</v>
      </c>
      <c r="G188" s="6" t="n"/>
      <c r="H188" s="6" t="n"/>
      <c r="I188" s="32" t="n">
        <v>2</v>
      </c>
      <c r="J188" s="33" t="n"/>
      <c r="K188" s="33" t="inlineStr">
        <is>
          <t>将一个敌方随从列入悬赏名单。</t>
        </is>
      </c>
      <c r="L188" s="33" t="inlineStr">
        <is>
          <t>spell:markBounty</t>
        </is>
      </c>
      <c r="M188" s="8" t="n">
        <v>1</v>
      </c>
      <c r="N188" s="8" t="n"/>
      <c r="O188" s="8" t="n"/>
      <c r="P188" s="34">
        <f>IF(OR(F188&lt;&gt;M188,IF(AND(G188="",N188=""),FALSE,G188&lt;&gt;N188),IF(AND(H188="",O188=""),FALSE,H188&lt;&gt;O188)),"已改","")</f>
        <v/>
      </c>
      <c r="Q188" s="34" t="inlineStr">
        <is>
          <t>可组</t>
        </is>
      </c>
      <c r="R188" s="33" t="n"/>
    </row>
    <row r="189" ht="28" customHeight="1">
      <c r="A189" s="32" t="inlineStr">
        <is>
          <t>gh_bodyguard_contract</t>
        </is>
      </c>
      <c r="B189" s="32" t="inlineStr">
        <is>
          <t>替身契约</t>
        </is>
      </c>
      <c r="C189" s="32" t="inlineStr">
        <is>
          <t>灰港同盟</t>
        </is>
      </c>
      <c r="D189" s="32" t="inlineStr">
        <is>
          <t>战术</t>
        </is>
      </c>
      <c r="E189" s="32" t="inlineStr">
        <is>
          <t>普通</t>
        </is>
      </c>
      <c r="F189" s="6" t="n">
        <v>1</v>
      </c>
      <c r="G189" s="6" t="n"/>
      <c r="H189" s="6" t="n"/>
      <c r="I189" s="32" t="n">
        <v>2</v>
      </c>
      <c r="J189" s="33" t="n"/>
      <c r="K189" s="33" t="inlineStr">
        <is>
          <t>使一个友方随从获得护幕。</t>
        </is>
      </c>
      <c r="L189" s="33" t="inlineStr">
        <is>
          <t>spell:grantDivineShield</t>
        </is>
      </c>
      <c r="M189" s="8" t="n">
        <v>1</v>
      </c>
      <c r="N189" s="8" t="n"/>
      <c r="O189" s="8" t="n"/>
      <c r="P189" s="34">
        <f>IF(OR(F189&lt;&gt;M189,IF(AND(G189="",N189=""),FALSE,G189&lt;&gt;N189),IF(AND(H189="",O189=""),FALSE,H189&lt;&gt;O189)),"已改","")</f>
        <v/>
      </c>
      <c r="Q189" s="34" t="inlineStr">
        <is>
          <t>可组</t>
        </is>
      </c>
      <c r="R189" s="33" t="n"/>
    </row>
    <row r="190" ht="28" customHeight="1">
      <c r="A190" s="32" t="inlineStr">
        <is>
          <t>gh_quick_strike</t>
        </is>
      </c>
      <c r="B190" s="32" t="inlineStr">
        <is>
          <t>先手突袭</t>
        </is>
      </c>
      <c r="C190" s="32" t="inlineStr">
        <is>
          <t>灰港同盟</t>
        </is>
      </c>
      <c r="D190" s="32" t="inlineStr">
        <is>
          <t>战术</t>
        </is>
      </c>
      <c r="E190" s="32" t="inlineStr">
        <is>
          <t>普通</t>
        </is>
      </c>
      <c r="F190" s="6" t="n">
        <v>1</v>
      </c>
      <c r="G190" s="6" t="n"/>
      <c r="H190" s="6" t="n"/>
      <c r="I190" s="32" t="n">
        <v>2</v>
      </c>
      <c r="J190" s="33" t="n"/>
      <c r="K190" s="33" t="inlineStr">
        <is>
          <t>使一个友方随从获得 +1 攻击和袭扰。</t>
        </is>
      </c>
      <c r="L190" s="33" t="inlineStr">
        <is>
          <t>spell:grantRushBuff</t>
        </is>
      </c>
      <c r="M190" s="8" t="n">
        <v>1</v>
      </c>
      <c r="N190" s="8" t="n"/>
      <c r="O190" s="8" t="n"/>
      <c r="P190" s="34">
        <f>IF(OR(F190&lt;&gt;M190,IF(AND(G190="",N190=""),FALSE,G190&lt;&gt;N190),IF(AND(H190="",O190=""),FALSE,H190&lt;&gt;O190)),"已改","")</f>
        <v/>
      </c>
      <c r="Q190" s="34" t="inlineStr">
        <is>
          <t>可组</t>
        </is>
      </c>
      <c r="R190" s="33" t="n"/>
    </row>
    <row r="191" ht="28" customHeight="1">
      <c r="A191" s="32" t="inlineStr">
        <is>
          <t>gh_ledger</t>
        </is>
      </c>
      <c r="B191" s="32" t="inlineStr">
        <is>
          <t>悬赏账簿</t>
        </is>
      </c>
      <c r="C191" s="32" t="inlineStr">
        <is>
          <t>灰港同盟</t>
        </is>
      </c>
      <c r="D191" s="32" t="inlineStr">
        <is>
          <t>战术</t>
        </is>
      </c>
      <c r="E191" s="32" t="inlineStr">
        <is>
          <t>稀有</t>
        </is>
      </c>
      <c r="F191" s="6" t="n">
        <v>2</v>
      </c>
      <c r="G191" s="6" t="n"/>
      <c r="H191" s="6" t="n"/>
      <c r="I191" s="32" t="n">
        <v>2</v>
      </c>
      <c r="J191" s="33" t="n"/>
      <c r="K191" s="33" t="inlineStr">
        <is>
          <t>抽 1 张牌；若你本回合完成过悬赏，再抽 1 张。</t>
        </is>
      </c>
      <c r="L191" s="33" t="inlineStr">
        <is>
          <t>spell:drawIfBountyClaimed</t>
        </is>
      </c>
      <c r="M191" s="8" t="n">
        <v>2</v>
      </c>
      <c r="N191" s="8" t="n"/>
      <c r="O191" s="8" t="n"/>
      <c r="P191" s="34">
        <f>IF(OR(F191&lt;&gt;M191,IF(AND(G191="",N191=""),FALSE,G191&lt;&gt;N191),IF(AND(H191="",O191=""),FALSE,H191&lt;&gt;O191)),"已改","")</f>
        <v/>
      </c>
      <c r="Q191" s="34" t="inlineStr">
        <is>
          <t>可组</t>
        </is>
      </c>
      <c r="R191" s="33" t="n"/>
    </row>
    <row r="192" ht="28" customHeight="1">
      <c r="A192" s="32" t="inlineStr">
        <is>
          <t>gh_assassinate_contract</t>
        </is>
      </c>
      <c r="B192" s="32" t="inlineStr">
        <is>
          <t>刺杀契约</t>
        </is>
      </c>
      <c r="C192" s="32" t="inlineStr">
        <is>
          <t>灰港同盟</t>
        </is>
      </c>
      <c r="D192" s="32" t="inlineStr">
        <is>
          <t>战术</t>
        </is>
      </c>
      <c r="E192" s="32" t="inlineStr">
        <is>
          <t>稀有</t>
        </is>
      </c>
      <c r="F192" s="6" t="n">
        <v>3</v>
      </c>
      <c r="G192" s="6" t="n"/>
      <c r="H192" s="6" t="n"/>
      <c r="I192" s="32" t="n">
        <v>2</v>
      </c>
      <c r="J192" s="33" t="n"/>
      <c r="K192" s="33" t="inlineStr">
        <is>
          <t>对一个敌方随从造成 4 点伤害；若它是悬赏目标，改为消灭。</t>
        </is>
      </c>
      <c r="L192" s="33" t="inlineStr">
        <is>
          <t>spell:damageOrDestroyBounty</t>
        </is>
      </c>
      <c r="M192" s="8" t="n">
        <v>3</v>
      </c>
      <c r="N192" s="8" t="n"/>
      <c r="O192" s="8" t="n"/>
      <c r="P192" s="34">
        <f>IF(OR(F192&lt;&gt;M192,IF(AND(G192="",N192=""),FALSE,G192&lt;&gt;N192),IF(AND(H192="",O192=""),FALSE,H192&lt;&gt;O192)),"已改","")</f>
        <v/>
      </c>
      <c r="Q192" s="34" t="inlineStr">
        <is>
          <t>可组</t>
        </is>
      </c>
      <c r="R192" s="33" t="n"/>
    </row>
    <row r="193" ht="28" customHeight="1">
      <c r="A193" s="32" t="inlineStr">
        <is>
          <t>gh_black_market</t>
        </is>
      </c>
      <c r="B193" s="32" t="inlineStr">
        <is>
          <t>黑市交易</t>
        </is>
      </c>
      <c r="C193" s="32" t="inlineStr">
        <is>
          <t>灰港同盟</t>
        </is>
      </c>
      <c r="D193" s="32" t="inlineStr">
        <is>
          <t>战术</t>
        </is>
      </c>
      <c r="E193" s="32" t="inlineStr">
        <is>
          <t>普通</t>
        </is>
      </c>
      <c r="F193" s="6" t="n">
        <v>3</v>
      </c>
      <c r="G193" s="6" t="n"/>
      <c r="H193" s="6" t="n"/>
      <c r="I193" s="32" t="n">
        <v>2</v>
      </c>
      <c r="J193" s="33" t="n"/>
      <c r="K193" s="33" t="inlineStr">
        <is>
          <t>抽 1 张牌；随机将两个敌方随从列入悬赏名单。</t>
        </is>
      </c>
      <c r="L193" s="33" t="inlineStr">
        <is>
          <t>spell:drawRandomBounties</t>
        </is>
      </c>
      <c r="M193" s="8" t="n">
        <v>3</v>
      </c>
      <c r="N193" s="8" t="n"/>
      <c r="O193" s="8" t="n"/>
      <c r="P193" s="34">
        <f>IF(OR(F193&lt;&gt;M193,IF(AND(G193="",N193=""),FALSE,G193&lt;&gt;N193),IF(AND(H193="",O193=""),FALSE,H193&lt;&gt;O193)),"已改","")</f>
        <v/>
      </c>
      <c r="Q193" s="34" t="inlineStr">
        <is>
          <t>可组</t>
        </is>
      </c>
      <c r="R193" s="33" t="n"/>
    </row>
    <row r="194" ht="28" customHeight="1">
      <c r="A194" s="32" t="inlineStr">
        <is>
          <t>gh_silence_field</t>
        </is>
      </c>
      <c r="B194" s="32" t="inlineStr">
        <is>
          <t>沉默领域</t>
        </is>
      </c>
      <c r="C194" s="32" t="inlineStr">
        <is>
          <t>灰港同盟</t>
        </is>
      </c>
      <c r="D194" s="32" t="inlineStr">
        <is>
          <t>战术</t>
        </is>
      </c>
      <c r="E194" s="32" t="inlineStr">
        <is>
          <t>稀有</t>
        </is>
      </c>
      <c r="F194" s="6" t="n">
        <v>3</v>
      </c>
      <c r="G194" s="6" t="n"/>
      <c r="H194" s="6" t="n"/>
      <c r="I194" s="32" t="n">
        <v>2</v>
      </c>
      <c r="J194" s="33" t="n"/>
      <c r="K194" s="33" t="inlineStr">
        <is>
          <t>沉默所有敌方随从。</t>
        </is>
      </c>
      <c r="L194" s="33" t="inlineStr">
        <is>
          <t>spell:silenceAll</t>
        </is>
      </c>
      <c r="M194" s="8" t="n">
        <v>3</v>
      </c>
      <c r="N194" s="8" t="n"/>
      <c r="O194" s="8" t="n"/>
      <c r="P194" s="34">
        <f>IF(OR(F194&lt;&gt;M194,IF(AND(G194="",N194=""),FALSE,G194&lt;&gt;N194),IF(AND(H194="",O194=""),FALSE,H194&lt;&gt;O194)),"已改","")</f>
        <v/>
      </c>
      <c r="Q194" s="34" t="inlineStr">
        <is>
          <t>可组</t>
        </is>
      </c>
      <c r="R194" s="33" t="n"/>
    </row>
    <row r="195" ht="28" customHeight="1">
      <c r="A195" s="32" t="inlineStr">
        <is>
          <t>gh_execution_contract</t>
        </is>
      </c>
      <c r="B195" s="32" t="inlineStr">
        <is>
          <t>处刑契约</t>
        </is>
      </c>
      <c r="C195" s="32" t="inlineStr">
        <is>
          <t>灰港同盟</t>
        </is>
      </c>
      <c r="D195" s="32" t="inlineStr">
        <is>
          <t>战术</t>
        </is>
      </c>
      <c r="E195" s="32" t="inlineStr">
        <is>
          <t>史诗</t>
        </is>
      </c>
      <c r="F195" s="6" t="n">
        <v>3</v>
      </c>
      <c r="G195" s="6" t="n"/>
      <c r="H195" s="6" t="n"/>
      <c r="I195" s="32" t="n">
        <v>2</v>
      </c>
      <c r="J195" s="33" t="n"/>
      <c r="K195" s="33" t="inlineStr">
        <is>
          <t>消灭悬赏名单上的一个敌方随从。</t>
        </is>
      </c>
      <c r="L195" s="33" t="inlineStr">
        <is>
          <t>spell:destroyBounty</t>
        </is>
      </c>
      <c r="M195" s="8" t="n">
        <v>3</v>
      </c>
      <c r="N195" s="8" t="n"/>
      <c r="O195" s="8" t="n"/>
      <c r="P195" s="34">
        <f>IF(OR(F195&lt;&gt;M195,IF(AND(G195="",N195=""),FALSE,G195&lt;&gt;N195),IF(AND(H195="",O195=""),FALSE,H195&lt;&gt;O195)),"已改","")</f>
        <v/>
      </c>
      <c r="Q195" s="34" t="inlineStr">
        <is>
          <t>可组</t>
        </is>
      </c>
      <c r="R195" s="33" t="n"/>
    </row>
    <row r="196" ht="28" customHeight="1">
      <c r="A196" s="32" t="inlineStr">
        <is>
          <t>gh_bounty_verdict</t>
        </is>
      </c>
      <c r="B196" s="32" t="inlineStr">
        <is>
          <t>赏金清算</t>
        </is>
      </c>
      <c r="C196" s="32" t="inlineStr">
        <is>
          <t>灰港同盟</t>
        </is>
      </c>
      <c r="D196" s="32" t="inlineStr">
        <is>
          <t>战术</t>
        </is>
      </c>
      <c r="E196" s="32" t="inlineStr">
        <is>
          <t>史诗</t>
        </is>
      </c>
      <c r="F196" s="6" t="n">
        <v>5</v>
      </c>
      <c r="G196" s="6" t="n"/>
      <c r="H196" s="6" t="n"/>
      <c r="I196" s="32" t="n">
        <v>2</v>
      </c>
      <c r="J196" s="33" t="n"/>
      <c r="K196" s="33" t="inlineStr">
        <is>
          <t>消灭所有悬赏名单上的敌方随从。</t>
        </is>
      </c>
      <c r="L196" s="33" t="inlineStr">
        <is>
          <t>spell:destroyAllBounties</t>
        </is>
      </c>
      <c r="M196" s="8" t="n">
        <v>5</v>
      </c>
      <c r="N196" s="8" t="n"/>
      <c r="O196" s="8" t="n"/>
      <c r="P196" s="34">
        <f>IF(OR(F196&lt;&gt;M196,IF(AND(G196="",N196=""),FALSE,G196&lt;&gt;N196),IF(AND(H196="",O196=""),FALSE,H196&lt;&gt;O196)),"已改","")</f>
        <v/>
      </c>
      <c r="Q196" s="34" t="inlineStr">
        <is>
          <t>可组</t>
        </is>
      </c>
      <c r="R196" s="33" t="n"/>
    </row>
    <row r="197" ht="28" customHeight="1">
      <c r="A197" s="32" t="inlineStr">
        <is>
          <t>gh_formation</t>
        </is>
      </c>
      <c r="B197" s="32" t="inlineStr">
        <is>
          <t>潜伏阵线</t>
        </is>
      </c>
      <c r="C197" s="32" t="inlineStr">
        <is>
          <t>灰港同盟</t>
        </is>
      </c>
      <c r="D197" s="32" t="inlineStr">
        <is>
          <t>阵型</t>
        </is>
      </c>
      <c r="E197" s="32" t="inlineStr">
        <is>
          <t>稀有</t>
        </is>
      </c>
      <c r="F197" s="6" t="n">
        <v>5</v>
      </c>
      <c r="G197" s="6" t="n"/>
      <c r="H197" s="6" t="n"/>
      <c r="I197" s="32" t="n">
        <v>2</v>
      </c>
      <c r="J197" s="33" t="n"/>
      <c r="K197" s="33" t="inlineStr">
        <is>
          <t>该阵位所有友方随从固定获得袭扰。</t>
        </is>
      </c>
      <c r="L197" s="33" t="n"/>
      <c r="M197" s="8" t="n">
        <v>5</v>
      </c>
      <c r="N197" s="8" t="n"/>
      <c r="O197" s="8" t="n"/>
      <c r="P197" s="34">
        <f>IF(OR(F197&lt;&gt;M197,IF(AND(G197="",N197=""),FALSE,G197&lt;&gt;N197),IF(AND(H197="",O197=""),FALSE,H197&lt;&gt;O197)),"已改","")</f>
        <v/>
      </c>
      <c r="Q197" s="34" t="inlineStr">
        <is>
          <t>可组</t>
        </is>
      </c>
      <c r="R197" s="33" t="n"/>
    </row>
    <row r="198" ht="28" customHeight="1">
      <c r="A198" s="32" t="inlineStr">
        <is>
          <t>gh_bounty_board</t>
        </is>
      </c>
      <c r="B198" s="32" t="inlineStr">
        <is>
          <t>悬赏榜</t>
        </is>
      </c>
      <c r="C198" s="32" t="inlineStr">
        <is>
          <t>灰港同盟</t>
        </is>
      </c>
      <c r="D198" s="32" t="inlineStr">
        <is>
          <t>遗物</t>
        </is>
      </c>
      <c r="E198" s="32" t="inlineStr">
        <is>
          <t>史诗</t>
        </is>
      </c>
      <c r="F198" s="6" t="n">
        <v>3</v>
      </c>
      <c r="G198" s="6" t="n"/>
      <c r="H198" s="6" t="n"/>
      <c r="I198" s="32" t="n">
        <v>1</v>
      </c>
      <c r="J198" s="33" t="n"/>
      <c r="K198" s="33" t="inlineStr">
        <is>
          <t>遗物：每当你完成一次悬赏，额外抽 1 张牌。</t>
        </is>
      </c>
      <c r="L198" s="33" t="n"/>
      <c r="M198" s="8" t="n">
        <v>3</v>
      </c>
      <c r="N198" s="8" t="n"/>
      <c r="O198" s="8" t="n"/>
      <c r="P198" s="34">
        <f>IF(OR(F198&lt;&gt;M198,IF(AND(G198="",N198=""),FALSE,G198&lt;&gt;N198),IF(AND(H198="",O198=""),FALSE,H198&lt;&gt;O198)),"已改","")</f>
        <v/>
      </c>
      <c r="Q198" s="60" t="inlineStr">
        <is>
          <t>遗物</t>
        </is>
      </c>
      <c r="R198" s="33" t="n"/>
    </row>
    <row r="199" ht="28" customHeight="1">
      <c r="A199" s="32" t="inlineStr">
        <is>
          <t>gh_venom_vial</t>
        </is>
      </c>
      <c r="B199" s="32" t="inlineStr">
        <is>
          <t>淬毒瓶</t>
        </is>
      </c>
      <c r="C199" s="32" t="inlineStr">
        <is>
          <t>灰港同盟</t>
        </is>
      </c>
      <c r="D199" s="32" t="inlineStr">
        <is>
          <t>遗物</t>
        </is>
      </c>
      <c r="E199" s="32" t="inlineStr">
        <is>
          <t>史诗</t>
        </is>
      </c>
      <c r="F199" s="6" t="n">
        <v>3</v>
      </c>
      <c r="G199" s="6" t="n"/>
      <c r="H199" s="6" t="n"/>
      <c r="I199" s="32" t="n">
        <v>1</v>
      </c>
      <c r="J199" s="33" t="n"/>
      <c r="K199" s="33" t="inlineStr">
        <is>
          <t>遗物：你的蚀毒随从获得 +1 生命。</t>
        </is>
      </c>
      <c r="L199" s="33" t="n"/>
      <c r="M199" s="8" t="n">
        <v>3</v>
      </c>
      <c r="N199" s="8" t="n"/>
      <c r="O199" s="8" t="n"/>
      <c r="P199" s="34">
        <f>IF(OR(F199&lt;&gt;M199,IF(AND(G199="",N199=""),FALSE,G199&lt;&gt;N199),IF(AND(H199="",O199=""),FALSE,H199&lt;&gt;O199)),"已改","")</f>
        <v/>
      </c>
      <c r="Q199" s="60" t="inlineStr">
        <is>
          <t>遗物</t>
        </is>
      </c>
      <c r="R199" s="33" t="n"/>
    </row>
    <row r="200" ht="28" customHeight="1">
      <c r="A200" s="36" t="inlineStr">
        <is>
          <t>fog_sailor</t>
        </is>
      </c>
      <c r="B200" s="36" t="inlineStr">
        <is>
          <t>雾港水手</t>
        </is>
      </c>
      <c r="C200" s="36" t="inlineStr">
        <is>
          <t>中立</t>
        </is>
      </c>
      <c r="D200" s="36" t="inlineStr">
        <is>
          <t>随从</t>
        </is>
      </c>
      <c r="E200" s="36" t="inlineStr">
        <is>
          <t>普通</t>
        </is>
      </c>
      <c r="F200" s="6" t="n">
        <v>1</v>
      </c>
      <c r="G200" s="6" t="n">
        <v>2</v>
      </c>
      <c r="H200" s="6" t="n">
        <v>1</v>
      </c>
      <c r="I200" s="36" t="n">
        <v>2</v>
      </c>
      <c r="J200" s="37" t="n"/>
      <c r="K200" s="37" t="inlineStr">
        <is>
          <t>被动：该随从在场时，同阵位每有一个其他友方随从，本随从获得 +1/+0。</t>
        </is>
      </c>
      <c r="L200" s="37" t="inlineStr">
        <is>
          <t>zoneBonus:object</t>
        </is>
      </c>
      <c r="M200" s="8" t="n">
        <v>1</v>
      </c>
      <c r="N200" s="8" t="n">
        <v>2</v>
      </c>
      <c r="O200" s="8" t="n">
        <v>1</v>
      </c>
      <c r="P200" s="38">
        <f>IF(OR(F200&lt;&gt;M200,IF(AND(G200="",N200=""),FALSE,G200&lt;&gt;N200),IF(AND(H200="",O200=""),FALSE,H200&lt;&gt;O200)),"已改","")</f>
        <v/>
      </c>
      <c r="Q200" s="38" t="inlineStr">
        <is>
          <t>可组</t>
        </is>
      </c>
      <c r="R200" s="37" t="n"/>
    </row>
    <row r="201" ht="28" customHeight="1">
      <c r="A201" s="36" t="inlineStr">
        <is>
          <t>snow_medic</t>
        </is>
      </c>
      <c r="B201" s="36" t="inlineStr">
        <is>
          <t>雪镇医者</t>
        </is>
      </c>
      <c r="C201" s="36" t="inlineStr">
        <is>
          <t>中立</t>
        </is>
      </c>
      <c r="D201" s="36" t="inlineStr">
        <is>
          <t>随从</t>
        </is>
      </c>
      <c r="E201" s="36" t="inlineStr">
        <is>
          <t>普通</t>
        </is>
      </c>
      <c r="F201" s="6" t="n">
        <v>1</v>
      </c>
      <c r="G201" s="6" t="n">
        <v>1</v>
      </c>
      <c r="H201" s="6" t="n">
        <v>2</v>
      </c>
      <c r="I201" s="36" t="n">
        <v>2</v>
      </c>
      <c r="J201" s="37" t="inlineStr">
        <is>
          <t>登场、余响</t>
        </is>
      </c>
      <c r="K201" s="37" t="inlineStr">
        <is>
          <t>登场：同阵位有其他友方随从时，恢复你的领袖 1 点生命。余响：恢复你的领袖 1 点生命。</t>
        </is>
      </c>
      <c r="L201" s="37" t="inlineStr">
        <is>
          <t>deathrattle:healHero；zoneBonus:object</t>
        </is>
      </c>
      <c r="M201" s="8" t="n">
        <v>1</v>
      </c>
      <c r="N201" s="8" t="n">
        <v>1</v>
      </c>
      <c r="O201" s="8" t="n">
        <v>2</v>
      </c>
      <c r="P201" s="38">
        <f>IF(OR(F201&lt;&gt;M201,IF(AND(G201="",N201=""),FALSE,G201&lt;&gt;N201),IF(AND(H201="",O201=""),FALSE,H201&lt;&gt;O201)),"已改","")</f>
        <v/>
      </c>
      <c r="Q201" s="38" t="inlineStr">
        <is>
          <t>可组</t>
        </is>
      </c>
      <c r="R201" s="37" t="n"/>
    </row>
    <row r="202" ht="28" customHeight="1">
      <c r="A202" s="36" t="inlineStr">
        <is>
          <t>gok_digger</t>
        </is>
      </c>
      <c r="B202" s="36" t="inlineStr">
        <is>
          <t>戈克采掘者</t>
        </is>
      </c>
      <c r="C202" s="36" t="inlineStr">
        <is>
          <t>中立</t>
        </is>
      </c>
      <c r="D202" s="36" t="inlineStr">
        <is>
          <t>随从</t>
        </is>
      </c>
      <c r="E202" s="36" t="inlineStr">
        <is>
          <t>普通</t>
        </is>
      </c>
      <c r="F202" s="6" t="n">
        <v>2</v>
      </c>
      <c r="G202" s="6" t="n">
        <v>2</v>
      </c>
      <c r="H202" s="6" t="n">
        <v>3</v>
      </c>
      <c r="I202" s="36" t="n">
        <v>2</v>
      </c>
      <c r="J202" s="37" t="n"/>
      <c r="K202" s="37" t="inlineStr">
        <is>
          <t>采掘 1；引脉 4：获得 2 点护甲。</t>
        </is>
      </c>
      <c r="L202" s="37" t="inlineStr">
        <is>
          <t>veinBonus:object</t>
        </is>
      </c>
      <c r="M202" s="8" t="n">
        <v>2</v>
      </c>
      <c r="N202" s="8" t="n">
        <v>2</v>
      </c>
      <c r="O202" s="8" t="n">
        <v>3</v>
      </c>
      <c r="P202" s="38">
        <f>IF(OR(F202&lt;&gt;M202,IF(AND(G202="",N202=""),FALSE,G202&lt;&gt;N202),IF(AND(H202="",O202=""),FALSE,H202&lt;&gt;O202)),"已改","")</f>
        <v/>
      </c>
      <c r="Q202" s="38" t="inlineStr">
        <is>
          <t>可组</t>
        </is>
      </c>
      <c r="R202" s="37" t="n"/>
    </row>
    <row r="203" ht="28" customHeight="1">
      <c r="A203" s="36" t="inlineStr">
        <is>
          <t>blood_retainer</t>
        </is>
      </c>
      <c r="B203" s="36" t="inlineStr">
        <is>
          <t>血族侍从</t>
        </is>
      </c>
      <c r="C203" s="36" t="inlineStr">
        <is>
          <t>中立</t>
        </is>
      </c>
      <c r="D203" s="36" t="inlineStr">
        <is>
          <t>随从</t>
        </is>
      </c>
      <c r="E203" s="36" t="inlineStr">
        <is>
          <t>普通</t>
        </is>
      </c>
      <c r="F203" s="6" t="n">
        <v>2</v>
      </c>
      <c r="G203" s="6" t="n">
        <v>2</v>
      </c>
      <c r="H203" s="6" t="n">
        <v>2</v>
      </c>
      <c r="I203" s="36" t="n">
        <v>2</v>
      </c>
      <c r="J203" s="37" t="inlineStr">
        <is>
          <t>登场</t>
        </is>
      </c>
      <c r="K203" s="37" t="inlineStr">
        <is>
          <t>血祭 1：获得 +1/+1。</t>
        </is>
      </c>
      <c r="L203" s="37" t="inlineStr">
        <is>
          <t>battlecry:bloodBuff</t>
        </is>
      </c>
      <c r="M203" s="8" t="n">
        <v>2</v>
      </c>
      <c r="N203" s="8" t="n">
        <v>2</v>
      </c>
      <c r="O203" s="8" t="n">
        <v>2</v>
      </c>
      <c r="P203" s="38">
        <f>IF(OR(F203&lt;&gt;M203,IF(AND(G203="",N203=""),FALSE,G203&lt;&gt;N203),IF(AND(H203="",O203=""),FALSE,H203&lt;&gt;O203)),"已改","")</f>
        <v/>
      </c>
      <c r="Q203" s="38" t="inlineStr">
        <is>
          <t>可组</t>
        </is>
      </c>
      <c r="R203" s="37" t="n"/>
    </row>
    <row r="204" ht="28" customHeight="1">
      <c r="A204" s="36" t="inlineStr">
        <is>
          <t>mist_hound</t>
        </is>
      </c>
      <c r="B204" s="36" t="inlineStr">
        <is>
          <t>雾猎犬</t>
        </is>
      </c>
      <c r="C204" s="36" t="inlineStr">
        <is>
          <t>中立</t>
        </is>
      </c>
      <c r="D204" s="36" t="inlineStr">
        <is>
          <t>随从</t>
        </is>
      </c>
      <c r="E204" s="36" t="inlineStr">
        <is>
          <t>普通</t>
        </is>
      </c>
      <c r="F204" s="6" t="n">
        <v>2</v>
      </c>
      <c r="G204" s="6" t="n">
        <v>1</v>
      </c>
      <c r="H204" s="6" t="n">
        <v>1</v>
      </c>
      <c r="I204" s="36" t="n">
        <v>2</v>
      </c>
      <c r="J204" s="37" t="inlineStr">
        <is>
          <t>突进、回潮</t>
        </is>
      </c>
      <c r="K204" s="37" t="inlineStr">
        <is>
          <t>突进。回潮。</t>
        </is>
      </c>
      <c r="L204" s="37" t="n"/>
      <c r="M204" s="8" t="n">
        <v>2</v>
      </c>
      <c r="N204" s="8" t="n">
        <v>1</v>
      </c>
      <c r="O204" s="8" t="n">
        <v>1</v>
      </c>
      <c r="P204" s="38">
        <f>IF(OR(F204&lt;&gt;M204,IF(AND(G204="",N204=""),FALSE,G204&lt;&gt;N204),IF(AND(H204="",O204=""),FALSE,H204&lt;&gt;O204)),"已改","")</f>
        <v/>
      </c>
      <c r="Q204" s="38" t="inlineStr">
        <is>
          <t>可组</t>
        </is>
      </c>
      <c r="R204" s="37" t="n"/>
    </row>
    <row r="205" ht="28" customHeight="1">
      <c r="A205" s="36" t="inlineStr">
        <is>
          <t>archive_scribe</t>
        </is>
      </c>
      <c r="B205" s="36" t="inlineStr">
        <is>
          <t>档案抄写员</t>
        </is>
      </c>
      <c r="C205" s="36" t="inlineStr">
        <is>
          <t>中立</t>
        </is>
      </c>
      <c r="D205" s="36" t="inlineStr">
        <is>
          <t>随从</t>
        </is>
      </c>
      <c r="E205" s="36" t="inlineStr">
        <is>
          <t>普通</t>
        </is>
      </c>
      <c r="F205" s="6" t="n">
        <v>2</v>
      </c>
      <c r="G205" s="6" t="n">
        <v>1</v>
      </c>
      <c r="H205" s="6" t="n">
        <v>2</v>
      </c>
      <c r="I205" s="36" t="n">
        <v>2</v>
      </c>
      <c r="J205" s="37" t="inlineStr">
        <is>
          <t>余响</t>
        </is>
      </c>
      <c r="K205" s="37" t="inlineStr">
        <is>
          <t>余响：抽 1 张牌。</t>
        </is>
      </c>
      <c r="L205" s="37" t="inlineStr">
        <is>
          <t>deathrattle:draw</t>
        </is>
      </c>
      <c r="M205" s="8" t="n">
        <v>2</v>
      </c>
      <c r="N205" s="8" t="n">
        <v>1</v>
      </c>
      <c r="O205" s="8" t="n">
        <v>2</v>
      </c>
      <c r="P205" s="38">
        <f>IF(OR(F205&lt;&gt;M205,IF(AND(G205="",N205=""),FALSE,G205&lt;&gt;N205),IF(AND(H205="",O205=""),FALSE,H205&lt;&gt;O205)),"已改","")</f>
        <v/>
      </c>
      <c r="Q205" s="38" t="inlineStr">
        <is>
          <t>可组</t>
        </is>
      </c>
      <c r="R205" s="37" t="n"/>
    </row>
    <row r="206" ht="28" customHeight="1">
      <c r="A206" s="36" t="inlineStr">
        <is>
          <t>field_medic</t>
        </is>
      </c>
      <c r="B206" s="36" t="inlineStr">
        <is>
          <t>战地医者</t>
        </is>
      </c>
      <c r="C206" s="36" t="inlineStr">
        <is>
          <t>中立</t>
        </is>
      </c>
      <c r="D206" s="36" t="inlineStr">
        <is>
          <t>随从</t>
        </is>
      </c>
      <c r="E206" s="36" t="inlineStr">
        <is>
          <t>普通</t>
        </is>
      </c>
      <c r="F206" s="6" t="n">
        <v>2</v>
      </c>
      <c r="G206" s="6" t="n">
        <v>2</v>
      </c>
      <c r="H206" s="6" t="n">
        <v>3</v>
      </c>
      <c r="I206" s="36" t="n">
        <v>2</v>
      </c>
      <c r="J206" s="37" t="inlineStr">
        <is>
          <t>余响</t>
        </is>
      </c>
      <c r="K206" s="37" t="inlineStr">
        <is>
          <t>余响：恢复你的领袖 2 点生命。</t>
        </is>
      </c>
      <c r="L206" s="37" t="inlineStr">
        <is>
          <t>deathrattle:healHero</t>
        </is>
      </c>
      <c r="M206" s="8" t="n">
        <v>2</v>
      </c>
      <c r="N206" s="8" t="n">
        <v>2</v>
      </c>
      <c r="O206" s="8" t="n">
        <v>3</v>
      </c>
      <c r="P206" s="38">
        <f>IF(OR(F206&lt;&gt;M206,IF(AND(G206="",N206=""),FALSE,G206&lt;&gt;N206),IF(AND(H206="",O206=""),FALSE,H206&lt;&gt;O206)),"已改","")</f>
        <v/>
      </c>
      <c r="Q206" s="38" t="inlineStr">
        <is>
          <t>可组</t>
        </is>
      </c>
      <c r="R206" s="37" t="n"/>
    </row>
    <row r="207" ht="28" customHeight="1">
      <c r="A207" s="36" t="inlineStr">
        <is>
          <t>mist_scout</t>
        </is>
      </c>
      <c r="B207" s="36" t="inlineStr">
        <is>
          <t>雾境斥候</t>
        </is>
      </c>
      <c r="C207" s="36" t="inlineStr">
        <is>
          <t>中立</t>
        </is>
      </c>
      <c r="D207" s="36" t="inlineStr">
        <is>
          <t>随从</t>
        </is>
      </c>
      <c r="E207" s="36" t="inlineStr">
        <is>
          <t>普通</t>
        </is>
      </c>
      <c r="F207" s="6" t="n">
        <v>2</v>
      </c>
      <c r="G207" s="6" t="n">
        <v>2</v>
      </c>
      <c r="H207" s="6" t="n">
        <v>1</v>
      </c>
      <c r="I207" s="36" t="n">
        <v>2</v>
      </c>
      <c r="J207" s="37" t="inlineStr">
        <is>
          <t>突进</t>
        </is>
      </c>
      <c r="K207" s="37" t="inlineStr">
        <is>
          <t>突进。引脉 4：获得 1 点护甲。</t>
        </is>
      </c>
      <c r="L207" s="37" t="inlineStr">
        <is>
          <t>veinBonus:object</t>
        </is>
      </c>
      <c r="M207" s="8" t="n">
        <v>2</v>
      </c>
      <c r="N207" s="8" t="n">
        <v>2</v>
      </c>
      <c r="O207" s="8" t="n">
        <v>1</v>
      </c>
      <c r="P207" s="38">
        <f>IF(OR(F207&lt;&gt;M207,IF(AND(G207="",N207=""),FALSE,G207&lt;&gt;N207),IF(AND(H207="",O207=""),FALSE,H207&lt;&gt;O207)),"已改","")</f>
        <v/>
      </c>
      <c r="Q207" s="38" t="inlineStr">
        <is>
          <t>可组</t>
        </is>
      </c>
      <c r="R207" s="37" t="n"/>
    </row>
    <row r="208" ht="28" customHeight="1">
      <c r="A208" s="36" t="inlineStr">
        <is>
          <t>archive_guard</t>
        </is>
      </c>
      <c r="B208" s="36" t="inlineStr">
        <is>
          <t>档案守卫</t>
        </is>
      </c>
      <c r="C208" s="36" t="inlineStr">
        <is>
          <t>中立</t>
        </is>
      </c>
      <c r="D208" s="36" t="inlineStr">
        <is>
          <t>随从</t>
        </is>
      </c>
      <c r="E208" s="36" t="inlineStr">
        <is>
          <t>普通</t>
        </is>
      </c>
      <c r="F208" s="6" t="n">
        <v>2</v>
      </c>
      <c r="G208" s="6" t="n">
        <v>2</v>
      </c>
      <c r="H208" s="6" t="n">
        <v>2</v>
      </c>
      <c r="I208" s="36" t="n">
        <v>2</v>
      </c>
      <c r="J208" s="37" t="inlineStr">
        <is>
          <t>拦截</t>
        </is>
      </c>
      <c r="K208" s="37" t="inlineStr">
        <is>
          <t>拦截。</t>
        </is>
      </c>
      <c r="L208" s="37" t="n"/>
      <c r="M208" s="8" t="n">
        <v>2</v>
      </c>
      <c r="N208" s="8" t="n">
        <v>2</v>
      </c>
      <c r="O208" s="8" t="n">
        <v>2</v>
      </c>
      <c r="P208" s="38">
        <f>IF(OR(F208&lt;&gt;M208,IF(AND(G208="",N208=""),FALSE,G208&lt;&gt;N208),IF(AND(H208="",O208=""),FALSE,H208&lt;&gt;O208)),"已改","")</f>
        <v/>
      </c>
      <c r="Q208" s="38" t="inlineStr">
        <is>
          <t>可组</t>
        </is>
      </c>
      <c r="R208" s="37" t="n"/>
    </row>
    <row r="209" ht="28" customHeight="1">
      <c r="A209" s="36" t="inlineStr">
        <is>
          <t>vein_medic</t>
        </is>
      </c>
      <c r="B209" s="36" t="inlineStr">
        <is>
          <t>流脉医师</t>
        </is>
      </c>
      <c r="C209" s="36" t="inlineStr">
        <is>
          <t>中立</t>
        </is>
      </c>
      <c r="D209" s="36" t="inlineStr">
        <is>
          <t>随从</t>
        </is>
      </c>
      <c r="E209" s="36" t="inlineStr">
        <is>
          <t>普通</t>
        </is>
      </c>
      <c r="F209" s="6" t="n">
        <v>2</v>
      </c>
      <c r="G209" s="6" t="n">
        <v>1</v>
      </c>
      <c r="H209" s="6" t="n">
        <v>4</v>
      </c>
      <c r="I209" s="36" t="n">
        <v>2</v>
      </c>
      <c r="J209" s="37" t="inlineStr">
        <is>
          <t>余响</t>
        </is>
      </c>
      <c r="K209" s="37" t="inlineStr">
        <is>
          <t>余响：恢复你的领袖 3 点生命。</t>
        </is>
      </c>
      <c r="L209" s="37" t="inlineStr">
        <is>
          <t>deathrattle:healHero</t>
        </is>
      </c>
      <c r="M209" s="8" t="n">
        <v>2</v>
      </c>
      <c r="N209" s="8" t="n">
        <v>1</v>
      </c>
      <c r="O209" s="8" t="n">
        <v>4</v>
      </c>
      <c r="P209" s="38">
        <f>IF(OR(F209&lt;&gt;M209,IF(AND(G209="",N209=""),FALSE,G209&lt;&gt;N209),IF(AND(H209="",O209=""),FALSE,H209&lt;&gt;O209)),"已改","")</f>
        <v/>
      </c>
      <c r="Q209" s="38" t="inlineStr">
        <is>
          <t>可组</t>
        </is>
      </c>
      <c r="R209" s="37" t="n"/>
    </row>
    <row r="210" ht="28" customHeight="1">
      <c r="A210" s="36" t="inlineStr">
        <is>
          <t>iron_engineer</t>
        </is>
      </c>
      <c r="B210" s="36" t="inlineStr">
        <is>
          <t>铁流工兵</t>
        </is>
      </c>
      <c r="C210" s="36" t="inlineStr">
        <is>
          <t>中立</t>
        </is>
      </c>
      <c r="D210" s="36" t="inlineStr">
        <is>
          <t>随从</t>
        </is>
      </c>
      <c r="E210" s="36" t="inlineStr">
        <is>
          <t>稀有</t>
        </is>
      </c>
      <c r="F210" s="6" t="n">
        <v>2</v>
      </c>
      <c r="G210" s="6" t="n">
        <v>2</v>
      </c>
      <c r="H210" s="6" t="n">
        <v>3</v>
      </c>
      <c r="I210" s="36" t="n">
        <v>2</v>
      </c>
      <c r="J210" s="37" t="inlineStr">
        <is>
          <t>余响</t>
        </is>
      </c>
      <c r="K210" s="37" t="inlineStr">
        <is>
          <t>余响：获得 2 点护甲。</t>
        </is>
      </c>
      <c r="L210" s="37" t="inlineStr">
        <is>
          <t>deathrattle:armor</t>
        </is>
      </c>
      <c r="M210" s="8" t="n">
        <v>2</v>
      </c>
      <c r="N210" s="8" t="n">
        <v>2</v>
      </c>
      <c r="O210" s="8" t="n">
        <v>3</v>
      </c>
      <c r="P210" s="38">
        <f>IF(OR(F210&lt;&gt;M210,IF(AND(G210="",N210=""),FALSE,G210&lt;&gt;N210),IF(AND(H210="",O210=""),FALSE,H210&lt;&gt;O210)),"已改","")</f>
        <v/>
      </c>
      <c r="Q210" s="38" t="inlineStr">
        <is>
          <t>可组</t>
        </is>
      </c>
      <c r="R210" s="37" t="n"/>
    </row>
    <row r="211" ht="28" customHeight="1">
      <c r="A211" s="36" t="inlineStr">
        <is>
          <t>wandering_merchant</t>
        </is>
      </c>
      <c r="B211" s="36" t="inlineStr">
        <is>
          <t>流浪商人</t>
        </is>
      </c>
      <c r="C211" s="36" t="inlineStr">
        <is>
          <t>中立</t>
        </is>
      </c>
      <c r="D211" s="36" t="inlineStr">
        <is>
          <t>随从</t>
        </is>
      </c>
      <c r="E211" s="36" t="inlineStr">
        <is>
          <t>普通</t>
        </is>
      </c>
      <c r="F211" s="6" t="n">
        <v>2</v>
      </c>
      <c r="G211" s="6" t="n">
        <v>2</v>
      </c>
      <c r="H211" s="6" t="n">
        <v>1</v>
      </c>
      <c r="I211" s="36" t="n">
        <v>2</v>
      </c>
      <c r="J211" s="37" t="inlineStr">
        <is>
          <t>登场</t>
        </is>
      </c>
      <c r="K211" s="37" t="inlineStr">
        <is>
          <t>登场：抽 1 张牌；若你的手牌不多于 4，再抽 1 张。</t>
        </is>
      </c>
      <c r="L211" s="37" t="inlineStr">
        <is>
          <t>battlecry:drawHandCondition</t>
        </is>
      </c>
      <c r="M211" s="8" t="n">
        <v>2</v>
      </c>
      <c r="N211" s="8" t="n">
        <v>2</v>
      </c>
      <c r="O211" s="8" t="n">
        <v>1</v>
      </c>
      <c r="P211" s="38">
        <f>IF(OR(F211&lt;&gt;M211,IF(AND(G211="",N211=""),FALSE,G211&lt;&gt;N211),IF(AND(H211="",O211=""),FALSE,H211&lt;&gt;O211)),"已改","")</f>
        <v/>
      </c>
      <c r="Q211" s="38" t="inlineStr">
        <is>
          <t>可组</t>
        </is>
      </c>
      <c r="R211" s="37" t="n"/>
    </row>
    <row r="212" ht="28" customHeight="1">
      <c r="A212" s="36" t="inlineStr">
        <is>
          <t>wandering_blade</t>
        </is>
      </c>
      <c r="B212" s="36" t="inlineStr">
        <is>
          <t>游荡剑客</t>
        </is>
      </c>
      <c r="C212" s="36" t="inlineStr">
        <is>
          <t>中立</t>
        </is>
      </c>
      <c r="D212" s="36" t="inlineStr">
        <is>
          <t>随从</t>
        </is>
      </c>
      <c r="E212" s="36" t="inlineStr">
        <is>
          <t>普通</t>
        </is>
      </c>
      <c r="F212" s="6" t="n">
        <v>2</v>
      </c>
      <c r="G212" s="6" t="n">
        <v>2</v>
      </c>
      <c r="H212" s="6" t="n">
        <v>2</v>
      </c>
      <c r="I212" s="36" t="n">
        <v>2</v>
      </c>
      <c r="J212" s="37" t="inlineStr">
        <is>
          <t>袭扰</t>
        </is>
      </c>
      <c r="K212" s="37" t="inlineStr">
        <is>
          <t>袭扰。</t>
        </is>
      </c>
      <c r="L212" s="37" t="n"/>
      <c r="M212" s="8" t="n">
        <v>2</v>
      </c>
      <c r="N212" s="8" t="n">
        <v>2</v>
      </c>
      <c r="O212" s="8" t="n">
        <v>2</v>
      </c>
      <c r="P212" s="38">
        <f>IF(OR(F212&lt;&gt;M212,IF(AND(G212="",N212=""),FALSE,G212&lt;&gt;N212),IF(AND(H212="",O212=""),FALSE,H212&lt;&gt;O212)),"已改","")</f>
        <v/>
      </c>
      <c r="Q212" s="38" t="inlineStr">
        <is>
          <t>可组</t>
        </is>
      </c>
      <c r="R212" s="37" t="n"/>
    </row>
    <row r="213" ht="28" customHeight="1">
      <c r="A213" s="36" t="inlineStr">
        <is>
          <t>sim_assistant</t>
        </is>
      </c>
      <c r="B213" s="36" t="inlineStr">
        <is>
          <t>推演助手</t>
        </is>
      </c>
      <c r="C213" s="36" t="inlineStr">
        <is>
          <t>中立</t>
        </is>
      </c>
      <c r="D213" s="36" t="inlineStr">
        <is>
          <t>随从</t>
        </is>
      </c>
      <c r="E213" s="36" t="inlineStr">
        <is>
          <t>普通</t>
        </is>
      </c>
      <c r="F213" s="6" t="n">
        <v>3</v>
      </c>
      <c r="G213" s="6" t="n">
        <v>2</v>
      </c>
      <c r="H213" s="6" t="n">
        <v>3</v>
      </c>
      <c r="I213" s="36" t="n">
        <v>2</v>
      </c>
      <c r="J213" s="37" t="inlineStr">
        <is>
          <t>余响</t>
        </is>
      </c>
      <c r="K213" s="37" t="inlineStr">
        <is>
          <t>余响：所有友方随从获得 +0/+1。</t>
        </is>
      </c>
      <c r="L213" s="37" t="inlineStr">
        <is>
          <t>deathrattle:buffAllAllies</t>
        </is>
      </c>
      <c r="M213" s="8" t="n">
        <v>3</v>
      </c>
      <c r="N213" s="8" t="n">
        <v>2</v>
      </c>
      <c r="O213" s="8" t="n">
        <v>3</v>
      </c>
      <c r="P213" s="38">
        <f>IF(OR(F213&lt;&gt;M213,IF(AND(G213="",N213=""),FALSE,G213&lt;&gt;N213),IF(AND(H213="",O213=""),FALSE,H213&lt;&gt;O213)),"已改","")</f>
        <v/>
      </c>
      <c r="Q213" s="38" t="inlineStr">
        <is>
          <t>可组</t>
        </is>
      </c>
      <c r="R213" s="37" t="n"/>
    </row>
    <row r="214" ht="28" customHeight="1">
      <c r="A214" s="36" t="inlineStr">
        <is>
          <t>bard</t>
        </is>
      </c>
      <c r="B214" s="36" t="inlineStr">
        <is>
          <t>吟游诗人</t>
        </is>
      </c>
      <c r="C214" s="36" t="inlineStr">
        <is>
          <t>中立</t>
        </is>
      </c>
      <c r="D214" s="36" t="inlineStr">
        <is>
          <t>随从</t>
        </is>
      </c>
      <c r="E214" s="36" t="inlineStr">
        <is>
          <t>普通</t>
        </is>
      </c>
      <c r="F214" s="6" t="n">
        <v>3</v>
      </c>
      <c r="G214" s="6" t="n">
        <v>2</v>
      </c>
      <c r="H214" s="6" t="n">
        <v>3</v>
      </c>
      <c r="I214" s="36" t="n">
        <v>2</v>
      </c>
      <c r="J214" s="37" t="inlineStr">
        <is>
          <t>登场</t>
        </is>
      </c>
      <c r="K214" s="37" t="inlineStr">
        <is>
          <t>登场：检索一张牌。</t>
        </is>
      </c>
      <c r="L214" s="37" t="inlineStr">
        <is>
          <t>battlecry:discover</t>
        </is>
      </c>
      <c r="M214" s="8" t="n">
        <v>3</v>
      </c>
      <c r="N214" s="8" t="n">
        <v>2</v>
      </c>
      <c r="O214" s="8" t="n">
        <v>3</v>
      </c>
      <c r="P214" s="38">
        <f>IF(OR(F214&lt;&gt;M214,IF(AND(G214="",N214=""),FALSE,G214&lt;&gt;N214),IF(AND(H214="",O214=""),FALSE,H214&lt;&gt;O214)),"已改","")</f>
        <v/>
      </c>
      <c r="Q214" s="38" t="inlineStr">
        <is>
          <t>可组</t>
        </is>
      </c>
      <c r="R214" s="37" t="n"/>
    </row>
    <row r="215" ht="28" customHeight="1">
      <c r="A215" s="36" t="inlineStr">
        <is>
          <t>vein_warden</t>
        </is>
      </c>
      <c r="B215" s="36" t="inlineStr">
        <is>
          <t>流脉守望者</t>
        </is>
      </c>
      <c r="C215" s="36" t="inlineStr">
        <is>
          <t>中立</t>
        </is>
      </c>
      <c r="D215" s="36" t="inlineStr">
        <is>
          <t>随从</t>
        </is>
      </c>
      <c r="E215" s="36" t="inlineStr">
        <is>
          <t>普通</t>
        </is>
      </c>
      <c r="F215" s="6" t="n">
        <v>3</v>
      </c>
      <c r="G215" s="6" t="n">
        <v>3</v>
      </c>
      <c r="H215" s="6" t="n">
        <v>3</v>
      </c>
      <c r="I215" s="36" t="n">
        <v>2</v>
      </c>
      <c r="J215" s="37" t="inlineStr">
        <is>
          <t>拦截</t>
        </is>
      </c>
      <c r="K215" s="37" t="inlineStr">
        <is>
          <t>拦截。</t>
        </is>
      </c>
      <c r="L215" s="37" t="n"/>
      <c r="M215" s="8" t="n">
        <v>3</v>
      </c>
      <c r="N215" s="8" t="n">
        <v>3</v>
      </c>
      <c r="O215" s="8" t="n">
        <v>3</v>
      </c>
      <c r="P215" s="38">
        <f>IF(OR(F215&lt;&gt;M215,IF(AND(G215="",N215=""),FALSE,G215&lt;&gt;N215),IF(AND(H215="",O215=""),FALSE,H215&lt;&gt;O215)),"已改","")</f>
        <v/>
      </c>
      <c r="Q215" s="38" t="inlineStr">
        <is>
          <t>可组</t>
        </is>
      </c>
      <c r="R215" s="37" t="n"/>
    </row>
    <row r="216" ht="28" customHeight="1">
      <c r="A216" s="36" t="inlineStr">
        <is>
          <t>field_engineer</t>
        </is>
      </c>
      <c r="B216" s="36" t="inlineStr">
        <is>
          <t>战地工程师</t>
        </is>
      </c>
      <c r="C216" s="36" t="inlineStr">
        <is>
          <t>中立</t>
        </is>
      </c>
      <c r="D216" s="36" t="inlineStr">
        <is>
          <t>随从</t>
        </is>
      </c>
      <c r="E216" s="36" t="inlineStr">
        <is>
          <t>普通</t>
        </is>
      </c>
      <c r="F216" s="6" t="n">
        <v>3</v>
      </c>
      <c r="G216" s="6" t="n">
        <v>1</v>
      </c>
      <c r="H216" s="6" t="n">
        <v>5</v>
      </c>
      <c r="I216" s="36" t="n">
        <v>2</v>
      </c>
      <c r="J216" s="37" t="inlineStr">
        <is>
          <t>拦截、余响</t>
        </is>
      </c>
      <c r="K216" s="37" t="inlineStr">
        <is>
          <t>拦截。余响：获得 2 点护甲。</t>
        </is>
      </c>
      <c r="L216" s="37" t="inlineStr">
        <is>
          <t>deathrattle:armor</t>
        </is>
      </c>
      <c r="M216" s="8" t="n">
        <v>3</v>
      </c>
      <c r="N216" s="8" t="n">
        <v>1</v>
      </c>
      <c r="O216" s="8" t="n">
        <v>5</v>
      </c>
      <c r="P216" s="38">
        <f>IF(OR(F216&lt;&gt;M216,IF(AND(G216="",N216=""),FALSE,G216&lt;&gt;N216),IF(AND(H216="",O216=""),FALSE,H216&lt;&gt;O216)),"已改","")</f>
        <v/>
      </c>
      <c r="Q216" s="38" t="inlineStr">
        <is>
          <t>可组</t>
        </is>
      </c>
      <c r="R216" s="37" t="n"/>
    </row>
    <row r="217" ht="28" customHeight="1">
      <c r="A217" s="36" t="inlineStr">
        <is>
          <t>mercenary</t>
        </is>
      </c>
      <c r="B217" s="36" t="inlineStr">
        <is>
          <t>自由佣兵</t>
        </is>
      </c>
      <c r="C217" s="36" t="inlineStr">
        <is>
          <t>中立</t>
        </is>
      </c>
      <c r="D217" s="36" t="inlineStr">
        <is>
          <t>随从</t>
        </is>
      </c>
      <c r="E217" s="36" t="inlineStr">
        <is>
          <t>普通</t>
        </is>
      </c>
      <c r="F217" s="6" t="n">
        <v>3</v>
      </c>
      <c r="G217" s="6" t="n">
        <v>4</v>
      </c>
      <c r="H217" s="6" t="n">
        <v>3</v>
      </c>
      <c r="I217" s="36" t="n">
        <v>2</v>
      </c>
      <c r="J217" s="37" t="inlineStr">
        <is>
          <t>登场</t>
        </is>
      </c>
      <c r="K217" s="37" t="inlineStr">
        <is>
          <t>登场：获得 1 点护甲。</t>
        </is>
      </c>
      <c r="L217" s="37" t="inlineStr">
        <is>
          <t>battlecry:armor</t>
        </is>
      </c>
      <c r="M217" s="8" t="n">
        <v>3</v>
      </c>
      <c r="N217" s="8" t="n">
        <v>4</v>
      </c>
      <c r="O217" s="8" t="n">
        <v>3</v>
      </c>
      <c r="P217" s="38">
        <f>IF(OR(F217&lt;&gt;M217,IF(AND(G217="",N217=""),FALSE,G217&lt;&gt;N217),IF(AND(H217="",O217=""),FALSE,H217&lt;&gt;O217)),"已改","")</f>
        <v/>
      </c>
      <c r="Q217" s="38" t="inlineStr">
        <is>
          <t>可组</t>
        </is>
      </c>
      <c r="R217" s="37" t="n"/>
    </row>
    <row r="218" ht="28" customHeight="1">
      <c r="A218" s="36" t="inlineStr">
        <is>
          <t>bounty_hunter</t>
        </is>
      </c>
      <c r="B218" s="36" t="inlineStr">
        <is>
          <t>赏金客</t>
        </is>
      </c>
      <c r="C218" s="36" t="inlineStr">
        <is>
          <t>中立</t>
        </is>
      </c>
      <c r="D218" s="36" t="inlineStr">
        <is>
          <t>随从</t>
        </is>
      </c>
      <c r="E218" s="36" t="inlineStr">
        <is>
          <t>普通</t>
        </is>
      </c>
      <c r="F218" s="6" t="n">
        <v>3</v>
      </c>
      <c r="G218" s="6" t="n">
        <v>2</v>
      </c>
      <c r="H218" s="6" t="n">
        <v>4</v>
      </c>
      <c r="I218" s="36" t="n">
        <v>2</v>
      </c>
      <c r="J218" s="37" t="inlineStr">
        <is>
          <t>余响</t>
        </is>
      </c>
      <c r="K218" s="37" t="inlineStr">
        <is>
          <t>余响：对随机敌方目标造成 1 点伤害。被动：该随从在场时，同阵位每有一个其他友方随从，本随从获得 +1/+0。</t>
        </is>
      </c>
      <c r="L218" s="37" t="inlineStr">
        <is>
          <t>deathrattle:damageRandomEnemy；zoneBonus:object</t>
        </is>
      </c>
      <c r="M218" s="8" t="n">
        <v>3</v>
      </c>
      <c r="N218" s="8" t="n">
        <v>2</v>
      </c>
      <c r="O218" s="8" t="n">
        <v>4</v>
      </c>
      <c r="P218" s="38">
        <f>IF(OR(F218&lt;&gt;M218,IF(AND(G218="",N218=""),FALSE,G218&lt;&gt;N218),IF(AND(H218="",O218=""),FALSE,H218&lt;&gt;O218)),"已改","")</f>
        <v/>
      </c>
      <c r="Q218" s="38" t="inlineStr">
        <is>
          <t>可组</t>
        </is>
      </c>
      <c r="R218" s="37" t="n"/>
    </row>
    <row r="219" ht="28" customHeight="1">
      <c r="A219" s="36" t="inlineStr">
        <is>
          <t>neutral_wayfarer</t>
        </is>
      </c>
      <c r="B219" s="36" t="inlineStr">
        <is>
          <t>无籍旅者</t>
        </is>
      </c>
      <c r="C219" s="36" t="inlineStr">
        <is>
          <t>中立</t>
        </is>
      </c>
      <c r="D219" s="36" t="inlineStr">
        <is>
          <t>随从</t>
        </is>
      </c>
      <c r="E219" s="36" t="inlineStr">
        <is>
          <t>普通</t>
        </is>
      </c>
      <c r="F219" s="6" t="n">
        <v>3</v>
      </c>
      <c r="G219" s="6" t="n">
        <v>3</v>
      </c>
      <c r="H219" s="6" t="n">
        <v>3</v>
      </c>
      <c r="I219" s="36" t="n">
        <v>2</v>
      </c>
      <c r="J219" s="37" t="inlineStr">
        <is>
          <t>袭扰</t>
        </is>
      </c>
      <c r="K219" s="37" t="inlineStr">
        <is>
          <t>袭扰。</t>
        </is>
      </c>
      <c r="L219" s="37" t="n"/>
      <c r="M219" s="8" t="n">
        <v>3</v>
      </c>
      <c r="N219" s="8" t="n">
        <v>3</v>
      </c>
      <c r="O219" s="8" t="n">
        <v>3</v>
      </c>
      <c r="P219" s="38">
        <f>IF(OR(F219&lt;&gt;M219,IF(AND(G219="",N219=""),FALSE,G219&lt;&gt;N219),IF(AND(H219="",O219=""),FALSE,H219&lt;&gt;O219)),"已改","")</f>
        <v/>
      </c>
      <c r="Q219" s="38" t="inlineStr">
        <is>
          <t>可组</t>
        </is>
      </c>
      <c r="R219" s="37" t="n"/>
    </row>
    <row r="220" ht="28" customHeight="1">
      <c r="A220" s="36" t="inlineStr">
        <is>
          <t>wandering_guard</t>
        </is>
      </c>
      <c r="B220" s="36" t="inlineStr">
        <is>
          <t>荒野守卫</t>
        </is>
      </c>
      <c r="C220" s="36" t="inlineStr">
        <is>
          <t>中立</t>
        </is>
      </c>
      <c r="D220" s="36" t="inlineStr">
        <is>
          <t>随从</t>
        </is>
      </c>
      <c r="E220" s="36" t="inlineStr">
        <is>
          <t>普通</t>
        </is>
      </c>
      <c r="F220" s="6" t="n">
        <v>3</v>
      </c>
      <c r="G220" s="6" t="n">
        <v>2</v>
      </c>
      <c r="H220" s="6" t="n">
        <v>4</v>
      </c>
      <c r="I220" s="36" t="n">
        <v>2</v>
      </c>
      <c r="J220" s="37" t="inlineStr">
        <is>
          <t>拦截、登场</t>
        </is>
      </c>
      <c r="K220" s="37" t="inlineStr">
        <is>
          <t>拦截。登场：恢复你的领袖 1 点生命。</t>
        </is>
      </c>
      <c r="L220" s="37" t="inlineStr">
        <is>
          <t>battlecry:healHero</t>
        </is>
      </c>
      <c r="M220" s="8" t="n">
        <v>3</v>
      </c>
      <c r="N220" s="8" t="n">
        <v>2</v>
      </c>
      <c r="O220" s="8" t="n">
        <v>4</v>
      </c>
      <c r="P220" s="38">
        <f>IF(OR(F220&lt;&gt;M220,IF(AND(G220="",N220=""),FALSE,G220&lt;&gt;N220),IF(AND(H220="",O220=""),FALSE,H220&lt;&gt;O220)),"已改","")</f>
        <v/>
      </c>
      <c r="Q220" s="38" t="inlineStr">
        <is>
          <t>可组</t>
        </is>
      </c>
      <c r="R220" s="37" t="n"/>
    </row>
    <row r="221" ht="28" customHeight="1">
      <c r="A221" s="36" t="inlineStr">
        <is>
          <t>traveling_healer</t>
        </is>
      </c>
      <c r="B221" s="36" t="inlineStr">
        <is>
          <t>旅行医师</t>
        </is>
      </c>
      <c r="C221" s="36" t="inlineStr">
        <is>
          <t>中立</t>
        </is>
      </c>
      <c r="D221" s="36" t="inlineStr">
        <is>
          <t>随从</t>
        </is>
      </c>
      <c r="E221" s="36" t="inlineStr">
        <is>
          <t>稀有</t>
        </is>
      </c>
      <c r="F221" s="6" t="n">
        <v>3</v>
      </c>
      <c r="G221" s="6" t="n">
        <v>3</v>
      </c>
      <c r="H221" s="6" t="n">
        <v>3</v>
      </c>
      <c r="I221" s="36" t="n">
        <v>2</v>
      </c>
      <c r="J221" s="37" t="inlineStr">
        <is>
          <t>登场</t>
        </is>
      </c>
      <c r="K221" s="37" t="inlineStr">
        <is>
          <t>登场：恢复你的领袖 2 点生命。</t>
        </is>
      </c>
      <c r="L221" s="37" t="inlineStr">
        <is>
          <t>battlecry:healHero</t>
        </is>
      </c>
      <c r="M221" s="8" t="n">
        <v>3</v>
      </c>
      <c r="N221" s="8" t="n">
        <v>3</v>
      </c>
      <c r="O221" s="8" t="n">
        <v>3</v>
      </c>
      <c r="P221" s="38">
        <f>IF(OR(F221&lt;&gt;M221,IF(AND(G221="",N221=""),FALSE,G221&lt;&gt;N221),IF(AND(H221="",O221=""),FALSE,H221&lt;&gt;O221)),"已改","")</f>
        <v/>
      </c>
      <c r="Q221" s="38" t="inlineStr">
        <is>
          <t>可组</t>
        </is>
      </c>
      <c r="R221" s="37" t="n"/>
    </row>
    <row r="222" ht="28" customHeight="1">
      <c r="A222" s="36" t="inlineStr">
        <is>
          <t>caravan_guard</t>
        </is>
      </c>
      <c r="B222" s="36" t="inlineStr">
        <is>
          <t>商队护卫</t>
        </is>
      </c>
      <c r="C222" s="36" t="inlineStr">
        <is>
          <t>中立</t>
        </is>
      </c>
      <c r="D222" s="36" t="inlineStr">
        <is>
          <t>随从</t>
        </is>
      </c>
      <c r="E222" s="36" t="inlineStr">
        <is>
          <t>普通</t>
        </is>
      </c>
      <c r="F222" s="6" t="n">
        <v>4</v>
      </c>
      <c r="G222" s="6" t="n">
        <v>3</v>
      </c>
      <c r="H222" s="6" t="n">
        <v>4</v>
      </c>
      <c r="I222" s="36" t="n">
        <v>2</v>
      </c>
      <c r="J222" s="37" t="inlineStr">
        <is>
          <t>拦截</t>
        </is>
      </c>
      <c r="K222" s="37" t="inlineStr">
        <is>
          <t>拦截。被动：该随从在场时，同阵位每有一个其他友方随从，本随从获得 +0/+1。</t>
        </is>
      </c>
      <c r="L222" s="37" t="inlineStr">
        <is>
          <t>zoneBonus:object</t>
        </is>
      </c>
      <c r="M222" s="8" t="n">
        <v>4</v>
      </c>
      <c r="N222" s="8" t="n">
        <v>3</v>
      </c>
      <c r="O222" s="8" t="n">
        <v>4</v>
      </c>
      <c r="P222" s="38">
        <f>IF(OR(F222&lt;&gt;M222,IF(AND(G222="",N222=""),FALSE,G222&lt;&gt;N222),IF(AND(H222="",O222=""),FALSE,H222&lt;&gt;O222)),"已改","")</f>
        <v/>
      </c>
      <c r="Q222" s="38" t="inlineStr">
        <is>
          <t>可组</t>
        </is>
      </c>
      <c r="R222" s="37" t="n"/>
    </row>
    <row r="223" ht="28" customHeight="1">
      <c r="A223" s="36" t="inlineStr">
        <is>
          <t>chrono_scholar</t>
        </is>
      </c>
      <c r="B223" s="36" t="inlineStr">
        <is>
          <t>时序学者</t>
        </is>
      </c>
      <c r="C223" s="36" t="inlineStr">
        <is>
          <t>中立</t>
        </is>
      </c>
      <c r="D223" s="36" t="inlineStr">
        <is>
          <t>随从</t>
        </is>
      </c>
      <c r="E223" s="36" t="inlineStr">
        <is>
          <t>稀有</t>
        </is>
      </c>
      <c r="F223" s="6" t="n">
        <v>6</v>
      </c>
      <c r="G223" s="6" t="n">
        <v>3</v>
      </c>
      <c r="H223" s="6" t="n">
        <v>6</v>
      </c>
      <c r="I223" s="36" t="n">
        <v>2</v>
      </c>
      <c r="J223" s="37" t="inlineStr">
        <is>
          <t>余响、连动</t>
        </is>
      </c>
      <c r="K223" s="37" t="inlineStr">
        <is>
          <t>连动。余响：抽 1 张牌。</t>
        </is>
      </c>
      <c r="L223" s="37" t="inlineStr">
        <is>
          <t>deathrattle:draw</t>
        </is>
      </c>
      <c r="M223" s="8" t="n">
        <v>6</v>
      </c>
      <c r="N223" s="8" t="n">
        <v>3</v>
      </c>
      <c r="O223" s="8" t="n">
        <v>6</v>
      </c>
      <c r="P223" s="38">
        <f>IF(OR(F223&lt;&gt;M223,IF(AND(G223="",N223=""),FALSE,G223&lt;&gt;N223),IF(AND(H223="",O223=""),FALSE,H223&lt;&gt;O223)),"已改","")</f>
        <v/>
      </c>
      <c r="Q223" s="38" t="inlineStr">
        <is>
          <t>可组</t>
        </is>
      </c>
      <c r="R223" s="37" t="n"/>
    </row>
    <row r="224" ht="28" customHeight="1">
      <c r="A224" s="36" t="inlineStr">
        <is>
          <t>astral_colossus</t>
        </is>
      </c>
      <c r="B224" s="36" t="inlineStr">
        <is>
          <t>星界巨像</t>
        </is>
      </c>
      <c r="C224" s="36" t="inlineStr">
        <is>
          <t>中立</t>
        </is>
      </c>
      <c r="D224" s="36" t="inlineStr">
        <is>
          <t>随从</t>
        </is>
      </c>
      <c r="E224" s="36" t="inlineStr">
        <is>
          <t>史诗</t>
        </is>
      </c>
      <c r="F224" s="6" t="n">
        <v>6</v>
      </c>
      <c r="G224" s="6" t="n">
        <v>3</v>
      </c>
      <c r="H224" s="6" t="n">
        <v>8</v>
      </c>
      <c r="I224" s="36" t="n">
        <v>2</v>
      </c>
      <c r="J224" s="37" t="inlineStr">
        <is>
          <t>拦截</t>
        </is>
      </c>
      <c r="K224" s="37" t="inlineStr">
        <is>
          <t>拦截。被动：你的回合开始时获得 1 点护甲。引脉 6：获得 2 点护甲。</t>
        </is>
      </c>
      <c r="L224" s="37" t="inlineStr">
        <is>
          <t>passive:turnArmor；veinBonus:object</t>
        </is>
      </c>
      <c r="M224" s="8" t="n">
        <v>6</v>
      </c>
      <c r="N224" s="8" t="n">
        <v>3</v>
      </c>
      <c r="O224" s="8" t="n">
        <v>8</v>
      </c>
      <c r="P224" s="38">
        <f>IF(OR(F224&lt;&gt;M224,IF(AND(G224="",N224=""),FALSE,G224&lt;&gt;N224),IF(AND(H224="",O224=""),FALSE,H224&lt;&gt;O224)),"已改","")</f>
        <v/>
      </c>
      <c r="Q224" s="38" t="inlineStr">
        <is>
          <t>可组</t>
        </is>
      </c>
      <c r="R224" s="37" t="n"/>
    </row>
    <row r="225" ht="28" customHeight="1">
      <c r="A225" s="36" t="inlineStr">
        <is>
          <t>twin_weaver</t>
        </is>
      </c>
      <c r="B225" s="36" t="inlineStr">
        <is>
          <t>双生织命者</t>
        </is>
      </c>
      <c r="C225" s="36" t="inlineStr">
        <is>
          <t>中立</t>
        </is>
      </c>
      <c r="D225" s="36" t="inlineStr">
        <is>
          <t>随从</t>
        </is>
      </c>
      <c r="E225" s="36" t="inlineStr">
        <is>
          <t>史诗</t>
        </is>
      </c>
      <c r="F225" s="6" t="n">
        <v>7</v>
      </c>
      <c r="G225" s="6" t="n">
        <v>4</v>
      </c>
      <c r="H225" s="6" t="n">
        <v>4</v>
      </c>
      <c r="I225" s="36" t="n">
        <v>2</v>
      </c>
      <c r="J225" s="37" t="inlineStr">
        <is>
          <t>登场</t>
        </is>
      </c>
      <c r="K225" s="37" t="inlineStr">
        <is>
          <t>登场：召唤一个自身的复制。</t>
        </is>
      </c>
      <c r="L225" s="37" t="inlineStr">
        <is>
          <t>battlecry:summonSelfCopy</t>
        </is>
      </c>
      <c r="M225" s="8" t="n">
        <v>7</v>
      </c>
      <c r="N225" s="8" t="n">
        <v>4</v>
      </c>
      <c r="O225" s="8" t="n">
        <v>4</v>
      </c>
      <c r="P225" s="38">
        <f>IF(OR(F225&lt;&gt;M225,IF(AND(G225="",N225=""),FALSE,G225&lt;&gt;N225),IF(AND(H225="",O225=""),FALSE,H225&lt;&gt;O225)),"已改","")</f>
        <v/>
      </c>
      <c r="Q225" s="38" t="inlineStr">
        <is>
          <t>可组</t>
        </is>
      </c>
      <c r="R225" s="37" t="n"/>
    </row>
    <row r="226" ht="28" customHeight="1">
      <c r="A226" s="36" t="inlineStr">
        <is>
          <t>archive_devourer</t>
        </is>
      </c>
      <c r="B226" s="36" t="inlineStr">
        <is>
          <t>档案吞噬者</t>
        </is>
      </c>
      <c r="C226" s="36" t="inlineStr">
        <is>
          <t>中立</t>
        </is>
      </c>
      <c r="D226" s="36" t="inlineStr">
        <is>
          <t>随从</t>
        </is>
      </c>
      <c r="E226" s="36" t="inlineStr">
        <is>
          <t>稀有</t>
        </is>
      </c>
      <c r="F226" s="6" t="n">
        <v>7</v>
      </c>
      <c r="G226" s="6" t="n">
        <v>4</v>
      </c>
      <c r="H226" s="6" t="n">
        <v>5</v>
      </c>
      <c r="I226" s="36" t="n">
        <v>2</v>
      </c>
      <c r="J226" s="37" t="inlineStr">
        <is>
          <t>登场、余响</t>
        </is>
      </c>
      <c r="K226" s="37" t="inlineStr">
        <is>
          <t>登场：吞噬一个攻击力最低的友方随从，获得其攻击力和生命值。余响：抽 1 张牌。</t>
        </is>
      </c>
      <c r="L226" s="37" t="inlineStr">
        <is>
          <t>battlecry:devour；deathrattle:draw</t>
        </is>
      </c>
      <c r="M226" s="8" t="n">
        <v>7</v>
      </c>
      <c r="N226" s="8" t="n">
        <v>4</v>
      </c>
      <c r="O226" s="8" t="n">
        <v>5</v>
      </c>
      <c r="P226" s="38">
        <f>IF(OR(F226&lt;&gt;M226,IF(AND(G226="",N226=""),FALSE,G226&lt;&gt;N226),IF(AND(H226="",O226=""),FALSE,H226&lt;&gt;O226)),"已改","")</f>
        <v/>
      </c>
      <c r="Q226" s="38" t="inlineStr">
        <is>
          <t>可组</t>
        </is>
      </c>
      <c r="R226" s="37" t="n"/>
    </row>
    <row r="227" ht="28" customHeight="1">
      <c r="A227" s="36" t="inlineStr">
        <is>
          <t>chrono_archivist</t>
        </is>
      </c>
      <c r="B227" s="36" t="inlineStr">
        <is>
          <t>时序档案官</t>
        </is>
      </c>
      <c r="C227" s="36" t="inlineStr">
        <is>
          <t>中立</t>
        </is>
      </c>
      <c r="D227" s="36" t="inlineStr">
        <is>
          <t>随从</t>
        </is>
      </c>
      <c r="E227" s="36" t="inlineStr">
        <is>
          <t>史诗</t>
        </is>
      </c>
      <c r="F227" s="6" t="n">
        <v>8</v>
      </c>
      <c r="G227" s="6" t="n">
        <v>4</v>
      </c>
      <c r="H227" s="6" t="n">
        <v>5</v>
      </c>
      <c r="I227" s="36" t="n">
        <v>2</v>
      </c>
      <c r="J227" s="37" t="inlineStr">
        <is>
          <t>登场</t>
        </is>
      </c>
      <c r="K227" s="37" t="inlineStr">
        <is>
          <t>登场：将一个敌方随从移回其手牌。</t>
        </is>
      </c>
      <c r="L227" s="37" t="inlineStr">
        <is>
          <t>battlecry:returnToHand</t>
        </is>
      </c>
      <c r="M227" s="8" t="n">
        <v>8</v>
      </c>
      <c r="N227" s="8" t="n">
        <v>4</v>
      </c>
      <c r="O227" s="8" t="n">
        <v>5</v>
      </c>
      <c r="P227" s="38">
        <f>IF(OR(F227&lt;&gt;M227,IF(AND(G227="",N227=""),FALSE,G227&lt;&gt;N227),IF(AND(H227="",O227=""),FALSE,H227&lt;&gt;O227)),"已改","")</f>
        <v/>
      </c>
      <c r="Q227" s="38" t="inlineStr">
        <is>
          <t>可组</t>
        </is>
      </c>
      <c r="R227" s="37" t="n"/>
    </row>
    <row r="228" ht="28" customHeight="1">
      <c r="A228" s="36" t="inlineStr">
        <is>
          <t>frost_leviathan</t>
        </is>
      </c>
      <c r="B228" s="36" t="inlineStr">
        <is>
          <t>霜潮利维坦</t>
        </is>
      </c>
      <c r="C228" s="36" t="inlineStr">
        <is>
          <t>中立</t>
        </is>
      </c>
      <c r="D228" s="36" t="inlineStr">
        <is>
          <t>随从</t>
        </is>
      </c>
      <c r="E228" s="36" t="inlineStr">
        <is>
          <t>史诗</t>
        </is>
      </c>
      <c r="F228" s="6" t="n">
        <v>8</v>
      </c>
      <c r="G228" s="6" t="n">
        <v>6</v>
      </c>
      <c r="H228" s="6" t="n">
        <v>6</v>
      </c>
      <c r="I228" s="36" t="n">
        <v>2</v>
      </c>
      <c r="J228" s="37" t="inlineStr">
        <is>
          <t>余响</t>
        </is>
      </c>
      <c r="K228" s="37" t="inlineStr">
        <is>
          <t>余响：冻结所有敌方随从。</t>
        </is>
      </c>
      <c r="L228" s="37" t="inlineStr">
        <is>
          <t>deathrattle:freezeAllEnemies</t>
        </is>
      </c>
      <c r="M228" s="8" t="n">
        <v>8</v>
      </c>
      <c r="N228" s="8" t="n">
        <v>6</v>
      </c>
      <c r="O228" s="8" t="n">
        <v>6</v>
      </c>
      <c r="P228" s="38">
        <f>IF(OR(F228&lt;&gt;M228,IF(AND(G228="",N228=""),FALSE,G228&lt;&gt;N228),IF(AND(H228="",O228=""),FALSE,H228&lt;&gt;O228)),"已改","")</f>
        <v/>
      </c>
      <c r="Q228" s="38" t="inlineStr">
        <is>
          <t>可组</t>
        </is>
      </c>
      <c r="R228" s="37" t="n"/>
    </row>
    <row r="229" ht="28" customHeight="1">
      <c r="A229" s="36" t="inlineStr">
        <is>
          <t>vein_behemoth</t>
        </is>
      </c>
      <c r="B229" s="36" t="inlineStr">
        <is>
          <t>流脉巨兽</t>
        </is>
      </c>
      <c r="C229" s="36" t="inlineStr">
        <is>
          <t>中立</t>
        </is>
      </c>
      <c r="D229" s="36" t="inlineStr">
        <is>
          <t>随从</t>
        </is>
      </c>
      <c r="E229" s="36" t="inlineStr">
        <is>
          <t>史诗</t>
        </is>
      </c>
      <c r="F229" s="6" t="n">
        <v>8</v>
      </c>
      <c r="G229" s="6" t="n">
        <v>4</v>
      </c>
      <c r="H229" s="6" t="n">
        <v>10</v>
      </c>
      <c r="I229" s="36" t="n">
        <v>2</v>
      </c>
      <c r="J229" s="37" t="inlineStr">
        <is>
          <t>登场</t>
        </is>
      </c>
      <c r="K229" s="37" t="inlineStr">
        <is>
          <t>登场：采掘 2；引脉 10：获得 +0/+1 和拦截。</t>
        </is>
      </c>
      <c r="L229" s="37" t="inlineStr">
        <is>
          <t>battlecry:veinBuff</t>
        </is>
      </c>
      <c r="M229" s="8" t="n">
        <v>8</v>
      </c>
      <c r="N229" s="8" t="n">
        <v>4</v>
      </c>
      <c r="O229" s="8" t="n">
        <v>10</v>
      </c>
      <c r="P229" s="38">
        <f>IF(OR(F229&lt;&gt;M229,IF(AND(G229="",N229=""),FALSE,G229&lt;&gt;N229),IF(AND(H229="",O229=""),FALSE,H229&lt;&gt;O229)),"已改","")</f>
        <v/>
      </c>
      <c r="Q229" s="38" t="inlineStr">
        <is>
          <t>可组</t>
        </is>
      </c>
      <c r="R229" s="37" t="n"/>
    </row>
    <row r="230" ht="28" customHeight="1">
      <c r="A230" s="36" t="inlineStr">
        <is>
          <t>vein_leviathan</t>
        </is>
      </c>
      <c r="B230" s="36" t="inlineStr">
        <is>
          <t>流脉利维坦</t>
        </is>
      </c>
      <c r="C230" s="36" t="inlineStr">
        <is>
          <t>中立</t>
        </is>
      </c>
      <c r="D230" s="36" t="inlineStr">
        <is>
          <t>随从</t>
        </is>
      </c>
      <c r="E230" s="36" t="inlineStr">
        <is>
          <t>传说</t>
        </is>
      </c>
      <c r="F230" s="6" t="n">
        <v>9</v>
      </c>
      <c r="G230" s="6" t="n">
        <v>8</v>
      </c>
      <c r="H230" s="6" t="n">
        <v>8</v>
      </c>
      <c r="I230" s="36" t="n">
        <v>1</v>
      </c>
      <c r="J230" s="37" t="inlineStr">
        <is>
          <t>登场</t>
        </is>
      </c>
      <c r="K230" s="37" t="inlineStr">
        <is>
          <t>登场：采掘 1；引脉 7：抽 1 张牌。</t>
        </is>
      </c>
      <c r="L230" s="37" t="inlineStr">
        <is>
          <t>battlecry:veinDraw</t>
        </is>
      </c>
      <c r="M230" s="8" t="n">
        <v>9</v>
      </c>
      <c r="N230" s="8" t="n">
        <v>8</v>
      </c>
      <c r="O230" s="8" t="n">
        <v>8</v>
      </c>
      <c r="P230" s="38">
        <f>IF(OR(F230&lt;&gt;M230,IF(AND(G230="",N230=""),FALSE,G230&lt;&gt;N230),IF(AND(H230="",O230=""),FALSE,H230&lt;&gt;O230)),"已改","")</f>
        <v/>
      </c>
      <c r="Q230" s="38" t="inlineStr">
        <is>
          <t>可组</t>
        </is>
      </c>
      <c r="R230" s="37" t="n"/>
    </row>
    <row r="231" ht="28" customHeight="1">
      <c r="A231" s="36" t="inlineStr">
        <is>
          <t>obsidian_colossus</t>
        </is>
      </c>
      <c r="B231" s="36" t="inlineStr">
        <is>
          <t>黑曜巨像</t>
        </is>
      </c>
      <c r="C231" s="36" t="inlineStr">
        <is>
          <t>中立</t>
        </is>
      </c>
      <c r="D231" s="36" t="inlineStr">
        <is>
          <t>随从</t>
        </is>
      </c>
      <c r="E231" s="36" t="inlineStr">
        <is>
          <t>传说</t>
        </is>
      </c>
      <c r="F231" s="6" t="n">
        <v>9</v>
      </c>
      <c r="G231" s="6" t="n">
        <v>5</v>
      </c>
      <c r="H231" s="6" t="n">
        <v>10</v>
      </c>
      <c r="I231" s="36" t="n">
        <v>1</v>
      </c>
      <c r="J231" s="37" t="inlineStr">
        <is>
          <t>拦截、余响</t>
        </is>
      </c>
      <c r="K231" s="37" t="inlineStr">
        <is>
          <t>拦截。余响：召唤一个 3/3 的黑曜碎片。</t>
        </is>
      </c>
      <c r="L231" s="37" t="inlineStr">
        <is>
          <t>deathrattle:summon</t>
        </is>
      </c>
      <c r="M231" s="8" t="n">
        <v>9</v>
      </c>
      <c r="N231" s="8" t="n">
        <v>5</v>
      </c>
      <c r="O231" s="8" t="n">
        <v>10</v>
      </c>
      <c r="P231" s="38">
        <f>IF(OR(F231&lt;&gt;M231,IF(AND(G231="",N231=""),FALSE,G231&lt;&gt;N231),IF(AND(H231="",O231=""),FALSE,H231&lt;&gt;O231)),"已改","")</f>
        <v/>
      </c>
      <c r="Q231" s="38" t="inlineStr">
        <is>
          <t>可组</t>
        </is>
      </c>
      <c r="R231" s="37" t="n"/>
    </row>
    <row r="232" ht="28" customHeight="1">
      <c r="A232" s="36" t="inlineStr">
        <is>
          <t>faceless_king</t>
        </is>
      </c>
      <c r="B232" s="36" t="inlineStr">
        <is>
          <t>无面君王</t>
        </is>
      </c>
      <c r="C232" s="36" t="inlineStr">
        <is>
          <t>中立</t>
        </is>
      </c>
      <c r="D232" s="36" t="inlineStr">
        <is>
          <t>随从</t>
        </is>
      </c>
      <c r="E232" s="36" t="inlineStr">
        <is>
          <t>传说</t>
        </is>
      </c>
      <c r="F232" s="6" t="n">
        <v>9</v>
      </c>
      <c r="G232" s="6" t="n">
        <v>7</v>
      </c>
      <c r="H232" s="6" t="n">
        <v>7</v>
      </c>
      <c r="I232" s="36" t="n">
        <v>1</v>
      </c>
      <c r="J232" s="37" t="inlineStr">
        <is>
          <t>登场</t>
        </is>
      </c>
      <c r="K232" s="37" t="inlineStr">
        <is>
          <t>登场：复制一个友方随从。</t>
        </is>
      </c>
      <c r="L232" s="37" t="inlineStr">
        <is>
          <t>battlecry:copyFriendly</t>
        </is>
      </c>
      <c r="M232" s="8" t="n">
        <v>9</v>
      </c>
      <c r="N232" s="8" t="n">
        <v>7</v>
      </c>
      <c r="O232" s="8" t="n">
        <v>7</v>
      </c>
      <c r="P232" s="38">
        <f>IF(OR(F232&lt;&gt;M232,IF(AND(G232="",N232=""),FALSE,G232&lt;&gt;N232),IF(AND(H232="",O232=""),FALSE,H232&lt;&gt;O232)),"已改","")</f>
        <v/>
      </c>
      <c r="Q232" s="38" t="inlineStr">
        <is>
          <t>可组</t>
        </is>
      </c>
      <c r="R232" s="37" t="n"/>
    </row>
    <row r="233" ht="28" customHeight="1">
      <c r="A233" s="36" t="inlineStr">
        <is>
          <t>grave_titan</t>
        </is>
      </c>
      <c r="B233" s="36" t="inlineStr">
        <is>
          <t>墓钟泰坦</t>
        </is>
      </c>
      <c r="C233" s="36" t="inlineStr">
        <is>
          <t>中立</t>
        </is>
      </c>
      <c r="D233" s="36" t="inlineStr">
        <is>
          <t>随从</t>
        </is>
      </c>
      <c r="E233" s="36" t="inlineStr">
        <is>
          <t>传说</t>
        </is>
      </c>
      <c r="F233" s="6" t="n">
        <v>9</v>
      </c>
      <c r="G233" s="6" t="n">
        <v>6</v>
      </c>
      <c r="H233" s="6" t="n">
        <v>9</v>
      </c>
      <c r="I233" s="36" t="n">
        <v>1</v>
      </c>
      <c r="J233" s="37" t="inlineStr">
        <is>
          <t>余响</t>
        </is>
      </c>
      <c r="K233" s="37" t="inlineStr">
        <is>
          <t>余响：召唤一个 5/5 的墓钟守卫。</t>
        </is>
      </c>
      <c r="L233" s="37" t="inlineStr">
        <is>
          <t>deathrattle:summon</t>
        </is>
      </c>
      <c r="M233" s="8" t="n">
        <v>9</v>
      </c>
      <c r="N233" s="8" t="n">
        <v>6</v>
      </c>
      <c r="O233" s="8" t="n">
        <v>9</v>
      </c>
      <c r="P233" s="38">
        <f>IF(OR(F233&lt;&gt;M233,IF(AND(G233="",N233=""),FALSE,G233&lt;&gt;N233),IF(AND(H233="",O233=""),FALSE,H233&lt;&gt;O233)),"已改","")</f>
        <v/>
      </c>
      <c r="Q233" s="38" t="inlineStr">
        <is>
          <t>可组</t>
        </is>
      </c>
      <c r="R233" s="37" t="n"/>
    </row>
    <row r="234" ht="28" customHeight="1">
      <c r="A234" s="36" t="inlineStr">
        <is>
          <t>void_titan</t>
        </is>
      </c>
      <c r="B234" s="36" t="inlineStr">
        <is>
          <t>虚空泰坦</t>
        </is>
      </c>
      <c r="C234" s="36" t="inlineStr">
        <is>
          <t>中立</t>
        </is>
      </c>
      <c r="D234" s="36" t="inlineStr">
        <is>
          <t>随从</t>
        </is>
      </c>
      <c r="E234" s="36" t="inlineStr">
        <is>
          <t>传说</t>
        </is>
      </c>
      <c r="F234" s="6" t="n">
        <v>10</v>
      </c>
      <c r="G234" s="6" t="n">
        <v>3</v>
      </c>
      <c r="H234" s="6" t="n">
        <v>3</v>
      </c>
      <c r="I234" s="36" t="n">
        <v>1</v>
      </c>
      <c r="J234" s="37" t="inlineStr">
        <is>
          <t>登场</t>
        </is>
      </c>
      <c r="K234" s="37" t="inlineStr">
        <is>
          <t>登场：消灭所有敌方随从。</t>
        </is>
      </c>
      <c r="L234" s="37" t="inlineStr">
        <is>
          <t>battlecry:destroyAllEnemies</t>
        </is>
      </c>
      <c r="M234" s="8" t="n">
        <v>10</v>
      </c>
      <c r="N234" s="8" t="n">
        <v>3</v>
      </c>
      <c r="O234" s="8" t="n">
        <v>3</v>
      </c>
      <c r="P234" s="38">
        <f>IF(OR(F234&lt;&gt;M234,IF(AND(G234="",N234=""),FALSE,G234&lt;&gt;N234),IF(AND(H234="",O234=""),FALSE,H234&lt;&gt;O234)),"已改","")</f>
        <v/>
      </c>
      <c r="Q234" s="38" t="inlineStr">
        <is>
          <t>可组</t>
        </is>
      </c>
      <c r="R234" s="37" t="n"/>
    </row>
    <row r="235" ht="28" customHeight="1">
      <c r="A235" s="36" t="inlineStr">
        <is>
          <t>world_serpent</t>
        </is>
      </c>
      <c r="B235" s="36" t="inlineStr">
        <is>
          <t>世界之蛇</t>
        </is>
      </c>
      <c r="C235" s="36" t="inlineStr">
        <is>
          <t>中立</t>
        </is>
      </c>
      <c r="D235" s="36" t="inlineStr">
        <is>
          <t>随从</t>
        </is>
      </c>
      <c r="E235" s="36" t="inlineStr">
        <is>
          <t>传说</t>
        </is>
      </c>
      <c r="F235" s="6" t="n">
        <v>10</v>
      </c>
      <c r="G235" s="6" t="n">
        <v>9</v>
      </c>
      <c r="H235" s="6" t="n">
        <v>9</v>
      </c>
      <c r="I235" s="36" t="n">
        <v>1</v>
      </c>
      <c r="J235" s="37" t="inlineStr">
        <is>
          <t>登场</t>
        </is>
      </c>
      <c r="K235" s="37" t="inlineStr">
        <is>
          <t>登场：对所有敌方随从造成 2 点伤害。</t>
        </is>
      </c>
      <c r="L235" s="37" t="inlineStr">
        <is>
          <t>battlecry:damageAllEnemies</t>
        </is>
      </c>
      <c r="M235" s="8" t="n">
        <v>10</v>
      </c>
      <c r="N235" s="8" t="n">
        <v>9</v>
      </c>
      <c r="O235" s="8" t="n">
        <v>9</v>
      </c>
      <c r="P235" s="38">
        <f>IF(OR(F235&lt;&gt;M235,IF(AND(G235="",N235=""),FALSE,G235&lt;&gt;N235),IF(AND(H235="",O235=""),FALSE,H235&lt;&gt;O235)),"已改","")</f>
        <v/>
      </c>
      <c r="Q235" s="38" t="inlineStr">
        <is>
          <t>可组</t>
        </is>
      </c>
      <c r="R235" s="37" t="n"/>
    </row>
    <row r="236" ht="28" customHeight="1">
      <c r="A236" s="36" t="inlineStr">
        <is>
          <t>recon</t>
        </is>
      </c>
      <c r="B236" s="36" t="inlineStr">
        <is>
          <t>战前侦察</t>
        </is>
      </c>
      <c r="C236" s="36" t="inlineStr">
        <is>
          <t>中立</t>
        </is>
      </c>
      <c r="D236" s="36" t="inlineStr">
        <is>
          <t>战术</t>
        </is>
      </c>
      <c r="E236" s="36" t="inlineStr">
        <is>
          <t>普通</t>
        </is>
      </c>
      <c r="F236" s="6" t="n">
        <v>1</v>
      </c>
      <c r="G236" s="6" t="n"/>
      <c r="H236" s="6" t="n"/>
      <c r="I236" s="36" t="n">
        <v>2</v>
      </c>
      <c r="J236" s="37" t="n"/>
      <c r="K236" s="37" t="inlineStr">
        <is>
          <t>采掘 1。</t>
        </is>
      </c>
      <c r="L236" s="37" t="inlineStr">
        <is>
          <t>spell:none</t>
        </is>
      </c>
      <c r="M236" s="8" t="n">
        <v>1</v>
      </c>
      <c r="N236" s="8" t="n"/>
      <c r="O236" s="8" t="n"/>
      <c r="P236" s="38">
        <f>IF(OR(F236&lt;&gt;M236,IF(AND(G236="",N236=""),FALSE,G236&lt;&gt;N236),IF(AND(H236="",O236=""),FALSE,H236&lt;&gt;O236)),"已改","")</f>
        <v/>
      </c>
      <c r="Q236" s="38" t="inlineStr">
        <is>
          <t>可组</t>
        </is>
      </c>
      <c r="R236" s="37" t="n"/>
    </row>
    <row r="237" ht="28" customHeight="1">
      <c r="A237" s="36" t="inlineStr">
        <is>
          <t>vein_prospect</t>
        </is>
      </c>
      <c r="B237" s="36" t="inlineStr">
        <is>
          <t>流脉勘探</t>
        </is>
      </c>
      <c r="C237" s="36" t="inlineStr">
        <is>
          <t>中立</t>
        </is>
      </c>
      <c r="D237" s="36" t="inlineStr">
        <is>
          <t>战术</t>
        </is>
      </c>
      <c r="E237" s="36" t="inlineStr">
        <is>
          <t>普通</t>
        </is>
      </c>
      <c r="F237" s="6" t="n">
        <v>2</v>
      </c>
      <c r="G237" s="6" t="n"/>
      <c r="H237" s="6" t="n"/>
      <c r="I237" s="36" t="n">
        <v>2</v>
      </c>
      <c r="J237" s="37" t="n"/>
      <c r="K237" s="37" t="inlineStr">
        <is>
          <t>采掘 2。</t>
        </is>
      </c>
      <c r="L237" s="37" t="inlineStr">
        <is>
          <t>spell:none</t>
        </is>
      </c>
      <c r="M237" s="8" t="n">
        <v>2</v>
      </c>
      <c r="N237" s="8" t="n"/>
      <c r="O237" s="8" t="n"/>
      <c r="P237" s="38">
        <f>IF(OR(F237&lt;&gt;M237,IF(AND(G237="",N237=""),FALSE,G237&lt;&gt;N237),IF(AND(H237="",O237=""),FALSE,H237&lt;&gt;O237)),"已改","")</f>
        <v/>
      </c>
      <c r="Q237" s="38" t="inlineStr">
        <is>
          <t>可组</t>
        </is>
      </c>
      <c r="R237" s="37" t="n"/>
    </row>
    <row r="238" ht="28" customHeight="1">
      <c r="A238" s="36" t="inlineStr">
        <is>
          <t>vein_channel</t>
        </is>
      </c>
      <c r="B238" s="36" t="inlineStr">
        <is>
          <t>流脉疏导</t>
        </is>
      </c>
      <c r="C238" s="36" t="inlineStr">
        <is>
          <t>中立</t>
        </is>
      </c>
      <c r="D238" s="36" t="inlineStr">
        <is>
          <t>战术</t>
        </is>
      </c>
      <c r="E238" s="36" t="inlineStr">
        <is>
          <t>普通</t>
        </is>
      </c>
      <c r="F238" s="6" t="n">
        <v>2</v>
      </c>
      <c r="G238" s="6" t="n"/>
      <c r="H238" s="6" t="n"/>
      <c r="I238" s="36" t="n">
        <v>2</v>
      </c>
      <c r="J238" s="37" t="n"/>
      <c r="K238" s="37" t="inlineStr">
        <is>
          <t>逆流 1：抽 1 张牌。</t>
        </is>
      </c>
      <c r="L238" s="37" t="inlineStr">
        <is>
          <t>spell:draw</t>
        </is>
      </c>
      <c r="M238" s="8" t="n">
        <v>2</v>
      </c>
      <c r="N238" s="8" t="n"/>
      <c r="O238" s="8" t="n"/>
      <c r="P238" s="38">
        <f>IF(OR(F238&lt;&gt;M238,IF(AND(G238="",N238=""),FALSE,G238&lt;&gt;N238),IF(AND(H238="",O238=""),FALSE,H238&lt;&gt;O238)),"已改","")</f>
        <v/>
      </c>
      <c r="Q238" s="38" t="inlineStr">
        <is>
          <t>可组</t>
        </is>
      </c>
      <c r="R238" s="37" t="n"/>
    </row>
    <row r="239" ht="28" customHeight="1">
      <c r="A239" s="36" t="inlineStr">
        <is>
          <t>vein_prism</t>
        </is>
      </c>
      <c r="B239" s="36" t="inlineStr">
        <is>
          <t>流脉棱镜</t>
        </is>
      </c>
      <c r="C239" s="36" t="inlineStr">
        <is>
          <t>中立</t>
        </is>
      </c>
      <c r="D239" s="36" t="inlineStr">
        <is>
          <t>战术</t>
        </is>
      </c>
      <c r="E239" s="36" t="inlineStr">
        <is>
          <t>普通</t>
        </is>
      </c>
      <c r="F239" s="6" t="n">
        <v>2</v>
      </c>
      <c r="G239" s="6" t="n"/>
      <c r="H239" s="6" t="n"/>
      <c r="I239" s="36" t="n">
        <v>2</v>
      </c>
      <c r="J239" s="37" t="n"/>
      <c r="K239" s="37" t="inlineStr">
        <is>
          <t>抽 1 张牌；引脉 6：再抽 1 张牌。</t>
        </is>
      </c>
      <c r="L239" s="37" t="inlineStr">
        <is>
          <t>spell:drawVein</t>
        </is>
      </c>
      <c r="M239" s="8" t="n">
        <v>2</v>
      </c>
      <c r="N239" s="8" t="n"/>
      <c r="O239" s="8" t="n"/>
      <c r="P239" s="38">
        <f>IF(OR(F239&lt;&gt;M239,IF(AND(G239="",N239=""),FALSE,G239&lt;&gt;N239),IF(AND(H239="",O239=""),FALSE,H239&lt;&gt;O239)),"已改","")</f>
        <v/>
      </c>
      <c r="Q239" s="38" t="inlineStr">
        <is>
          <t>可组</t>
        </is>
      </c>
      <c r="R239" s="37" t="n"/>
    </row>
    <row r="240" ht="28" customHeight="1">
      <c r="A240" s="36" t="inlineStr">
        <is>
          <t>supply_cache</t>
        </is>
      </c>
      <c r="B240" s="36" t="inlineStr">
        <is>
          <t>补给箱</t>
        </is>
      </c>
      <c r="C240" s="36" t="inlineStr">
        <is>
          <t>中立</t>
        </is>
      </c>
      <c r="D240" s="36" t="inlineStr">
        <is>
          <t>战术</t>
        </is>
      </c>
      <c r="E240" s="36" t="inlineStr">
        <is>
          <t>普通</t>
        </is>
      </c>
      <c r="F240" s="6" t="n">
        <v>2</v>
      </c>
      <c r="G240" s="6" t="n"/>
      <c r="H240" s="6" t="n"/>
      <c r="I240" s="36" t="n">
        <v>2</v>
      </c>
      <c r="J240" s="37" t="n"/>
      <c r="K240" s="37" t="inlineStr">
        <is>
          <t>抽 1 张牌。</t>
        </is>
      </c>
      <c r="L240" s="37" t="inlineStr">
        <is>
          <t>spell:draw</t>
        </is>
      </c>
      <c r="M240" s="8" t="n">
        <v>2</v>
      </c>
      <c r="N240" s="8" t="n"/>
      <c r="O240" s="8" t="n"/>
      <c r="P240" s="38">
        <f>IF(OR(F240&lt;&gt;M240,IF(AND(G240="",N240=""),FALSE,G240&lt;&gt;N240),IF(AND(H240="",O240=""),FALSE,H240&lt;&gt;O240)),"已改","")</f>
        <v/>
      </c>
      <c r="Q240" s="38" t="inlineStr">
        <is>
          <t>可组</t>
        </is>
      </c>
      <c r="R240" s="37" t="n"/>
    </row>
    <row r="241" ht="28" customHeight="1">
      <c r="A241" s="36" t="inlineStr">
        <is>
          <t>smoke_screen</t>
        </is>
      </c>
      <c r="B241" s="36" t="inlineStr">
        <is>
          <t>烟雾弹</t>
        </is>
      </c>
      <c r="C241" s="36" t="inlineStr">
        <is>
          <t>中立</t>
        </is>
      </c>
      <c r="D241" s="36" t="inlineStr">
        <is>
          <t>战术</t>
        </is>
      </c>
      <c r="E241" s="36" t="inlineStr">
        <is>
          <t>普通</t>
        </is>
      </c>
      <c r="F241" s="6" t="n">
        <v>3</v>
      </c>
      <c r="G241" s="6" t="n"/>
      <c r="H241" s="6" t="n"/>
      <c r="I241" s="36" t="n">
        <v>2</v>
      </c>
      <c r="J241" s="37" t="n"/>
      <c r="K241" s="37" t="inlineStr">
        <is>
          <t>冻结一个敌方随从；抽 1 张牌。</t>
        </is>
      </c>
      <c r="L241" s="37" t="inlineStr">
        <is>
          <t>spell:freezeDraw</t>
        </is>
      </c>
      <c r="M241" s="8" t="n">
        <v>3</v>
      </c>
      <c r="N241" s="8" t="n"/>
      <c r="O241" s="8" t="n"/>
      <c r="P241" s="38">
        <f>IF(OR(F241&lt;&gt;M241,IF(AND(G241="",N241=""),FALSE,G241&lt;&gt;N241),IF(AND(H241="",O241=""),FALSE,H241&lt;&gt;O241)),"已改","")</f>
        <v/>
      </c>
      <c r="Q241" s="38" t="inlineStr">
        <is>
          <t>可组</t>
        </is>
      </c>
      <c r="R241" s="37" t="n"/>
    </row>
    <row r="242" ht="28" customHeight="1">
      <c r="A242" s="36" t="inlineStr">
        <is>
          <t>old_compass</t>
        </is>
      </c>
      <c r="B242" s="36" t="inlineStr">
        <is>
          <t>旧罗盘</t>
        </is>
      </c>
      <c r="C242" s="36" t="inlineStr">
        <is>
          <t>中立</t>
        </is>
      </c>
      <c r="D242" s="36" t="inlineStr">
        <is>
          <t>战术</t>
        </is>
      </c>
      <c r="E242" s="36" t="inlineStr">
        <is>
          <t>稀有</t>
        </is>
      </c>
      <c r="F242" s="6" t="n">
        <v>3</v>
      </c>
      <c r="G242" s="6" t="n"/>
      <c r="H242" s="6" t="n"/>
      <c r="I242" s="36" t="n">
        <v>2</v>
      </c>
      <c r="J242" s="37" t="n"/>
      <c r="K242" s="37" t="inlineStr">
        <is>
          <t>检索一张牌。</t>
        </is>
      </c>
      <c r="L242" s="37" t="inlineStr">
        <is>
          <t>spell:discover</t>
        </is>
      </c>
      <c r="M242" s="8" t="n">
        <v>3</v>
      </c>
      <c r="N242" s="8" t="n"/>
      <c r="O242" s="8" t="n"/>
      <c r="P242" s="38">
        <f>IF(OR(F242&lt;&gt;M242,IF(AND(G242="",N242=""),FALSE,G242&lt;&gt;N242),IF(AND(H242="",O242=""),FALSE,H242&lt;&gt;O242)),"已改","")</f>
        <v/>
      </c>
      <c r="Q242" s="38" t="inlineStr">
        <is>
          <t>可组</t>
        </is>
      </c>
      <c r="R242" s="37" t="n"/>
    </row>
    <row r="243" ht="28" customHeight="1">
      <c r="A243" s="36" t="inlineStr">
        <is>
          <t>old_ledger</t>
        </is>
      </c>
      <c r="B243" s="36" t="inlineStr">
        <is>
          <t>旧账本</t>
        </is>
      </c>
      <c r="C243" s="36" t="inlineStr">
        <is>
          <t>中立</t>
        </is>
      </c>
      <c r="D243" s="36" t="inlineStr">
        <is>
          <t>战术</t>
        </is>
      </c>
      <c r="E243" s="36" t="inlineStr">
        <is>
          <t>普通</t>
        </is>
      </c>
      <c r="F243" s="6" t="n">
        <v>4</v>
      </c>
      <c r="G243" s="6" t="n"/>
      <c r="H243" s="6" t="n"/>
      <c r="I243" s="36" t="n">
        <v>2</v>
      </c>
      <c r="J243" s="37" t="n"/>
      <c r="K243" s="37" t="inlineStr">
        <is>
          <t>抽 2 张牌。</t>
        </is>
      </c>
      <c r="L243" s="37" t="inlineStr">
        <is>
          <t>spell:draw</t>
        </is>
      </c>
      <c r="M243" s="8" t="n">
        <v>4</v>
      </c>
      <c r="N243" s="8" t="n"/>
      <c r="O243" s="8" t="n"/>
      <c r="P243" s="38">
        <f>IF(OR(F243&lt;&gt;M243,IF(AND(G243="",N243=""),FALSE,G243&lt;&gt;N243),IF(AND(H243="",O243=""),FALSE,H243&lt;&gt;O243)),"已改","")</f>
        <v/>
      </c>
      <c r="Q243" s="38" t="inlineStr">
        <is>
          <t>可组</t>
        </is>
      </c>
      <c r="R243" s="37" t="n"/>
    </row>
    <row r="244" ht="28" customHeight="1">
      <c r="A244" s="36" t="inlineStr">
        <is>
          <t>vein_tithe</t>
        </is>
      </c>
      <c r="B244" s="36" t="inlineStr">
        <is>
          <t>流脉什一税</t>
        </is>
      </c>
      <c r="C244" s="36" t="inlineStr">
        <is>
          <t>中立</t>
        </is>
      </c>
      <c r="D244" s="36" t="inlineStr">
        <is>
          <t>战术</t>
        </is>
      </c>
      <c r="E244" s="36" t="inlineStr">
        <is>
          <t>史诗</t>
        </is>
      </c>
      <c r="F244" s="6" t="n">
        <v>4</v>
      </c>
      <c r="G244" s="6" t="n"/>
      <c r="H244" s="6" t="n"/>
      <c r="I244" s="36" t="n">
        <v>2</v>
      </c>
      <c r="J244" s="37" t="n"/>
      <c r="K244" s="37" t="inlineStr">
        <is>
          <t>获得 5 点护甲；采掘 2。</t>
        </is>
      </c>
      <c r="L244" s="37" t="inlineStr">
        <is>
          <t>spell:armor</t>
        </is>
      </c>
      <c r="M244" s="8" t="n">
        <v>4</v>
      </c>
      <c r="N244" s="8" t="n"/>
      <c r="O244" s="8" t="n"/>
      <c r="P244" s="38">
        <f>IF(OR(F244&lt;&gt;M244,IF(AND(G244="",N244=""),FALSE,G244&lt;&gt;N244),IF(AND(H244="",O244=""),FALSE,H244&lt;&gt;O244)),"已改","")</f>
        <v/>
      </c>
      <c r="Q244" s="38" t="inlineStr">
        <is>
          <t>可组</t>
        </is>
      </c>
      <c r="R244" s="37" t="n"/>
    </row>
    <row r="245" ht="28" customHeight="1">
      <c r="A245" s="36" t="inlineStr">
        <is>
          <t>astral_gate</t>
        </is>
      </c>
      <c r="B245" s="36" t="inlineStr">
        <is>
          <t>星门</t>
        </is>
      </c>
      <c r="C245" s="36" t="inlineStr">
        <is>
          <t>中立</t>
        </is>
      </c>
      <c r="D245" s="36" t="inlineStr">
        <is>
          <t>战术</t>
        </is>
      </c>
      <c r="E245" s="36" t="inlineStr">
        <is>
          <t>史诗</t>
        </is>
      </c>
      <c r="F245" s="6" t="n">
        <v>6</v>
      </c>
      <c r="G245" s="6" t="n"/>
      <c r="H245" s="6" t="n"/>
      <c r="I245" s="36" t="n">
        <v>2</v>
      </c>
      <c r="J245" s="37" t="n"/>
      <c r="K245" s="37" t="inlineStr">
        <is>
          <t>召唤两个 3/3 的星界守卫。</t>
        </is>
      </c>
      <c r="L245" s="37" t="inlineStr">
        <is>
          <t>spell:summonTwoTokens</t>
        </is>
      </c>
      <c r="M245" s="8" t="n">
        <v>6</v>
      </c>
      <c r="N245" s="8" t="n"/>
      <c r="O245" s="8" t="n"/>
      <c r="P245" s="38">
        <f>IF(OR(F245&lt;&gt;M245,IF(AND(G245="",N245=""),FALSE,G245&lt;&gt;N245),IF(AND(H245="",O245=""),FALSE,H245&lt;&gt;O245)),"已改","")</f>
        <v/>
      </c>
      <c r="Q245" s="38" t="inlineStr">
        <is>
          <t>可组</t>
        </is>
      </c>
      <c r="R245" s="37" t="n"/>
    </row>
    <row r="246" ht="28" customHeight="1">
      <c r="A246" s="36" t="inlineStr">
        <is>
          <t>moonfall</t>
        </is>
      </c>
      <c r="B246" s="36" t="inlineStr">
        <is>
          <t>群星坠落</t>
        </is>
      </c>
      <c r="C246" s="36" t="inlineStr">
        <is>
          <t>中立</t>
        </is>
      </c>
      <c r="D246" s="36" t="inlineStr">
        <is>
          <t>战术</t>
        </is>
      </c>
      <c r="E246" s="36" t="inlineStr">
        <is>
          <t>史诗</t>
        </is>
      </c>
      <c r="F246" s="6" t="n">
        <v>8</v>
      </c>
      <c r="G246" s="6" t="n"/>
      <c r="H246" s="6" t="n"/>
      <c r="I246" s="36" t="n">
        <v>2</v>
      </c>
      <c r="J246" s="37" t="n"/>
      <c r="K246" s="37" t="inlineStr">
        <is>
          <t>对所有敌方随从造成 4 点伤害；抽 1 张牌。</t>
        </is>
      </c>
      <c r="L246" s="37" t="inlineStr">
        <is>
          <t>spell:damageAllEnemiesDraw</t>
        </is>
      </c>
      <c r="M246" s="8" t="n">
        <v>8</v>
      </c>
      <c r="N246" s="8" t="n"/>
      <c r="O246" s="8" t="n"/>
      <c r="P246" s="38">
        <f>IF(OR(F246&lt;&gt;M246,IF(AND(G246="",N246=""),FALSE,G246&lt;&gt;N246),IF(AND(H246="",O246=""),FALSE,H246&lt;&gt;O246)),"已改","")</f>
        <v/>
      </c>
      <c r="Q246" s="38" t="inlineStr">
        <is>
          <t>可组</t>
        </is>
      </c>
      <c r="R246" s="37" t="n"/>
    </row>
    <row r="247" ht="28" customHeight="1">
      <c r="A247" s="36" t="inlineStr">
        <is>
          <t>final_bell</t>
        </is>
      </c>
      <c r="B247" s="36" t="inlineStr">
        <is>
          <t>终末钟声</t>
        </is>
      </c>
      <c r="C247" s="36" t="inlineStr">
        <is>
          <t>中立</t>
        </is>
      </c>
      <c r="D247" s="36" t="inlineStr">
        <is>
          <t>战术</t>
        </is>
      </c>
      <c r="E247" s="36" t="inlineStr">
        <is>
          <t>传说</t>
        </is>
      </c>
      <c r="F247" s="6" t="n">
        <v>10</v>
      </c>
      <c r="G247" s="6" t="n"/>
      <c r="H247" s="6" t="n"/>
      <c r="I247" s="36" t="n">
        <v>1</v>
      </c>
      <c r="J247" s="37" t="n"/>
      <c r="K247" s="37" t="inlineStr">
        <is>
          <t>对所有敌方单位造成 5 点伤害。</t>
        </is>
      </c>
      <c r="L247" s="37" t="inlineStr">
        <is>
          <t>spell:damageAllEnemyUnits</t>
        </is>
      </c>
      <c r="M247" s="8" t="n">
        <v>10</v>
      </c>
      <c r="N247" s="8" t="n"/>
      <c r="O247" s="8" t="n"/>
      <c r="P247" s="38">
        <f>IF(OR(F247&lt;&gt;M247,IF(AND(G247="",N247=""),FALSE,G247&lt;&gt;N247),IF(AND(H247="",O247=""),FALSE,H247&lt;&gt;O247)),"已改","")</f>
        <v/>
      </c>
      <c r="Q247" s="38" t="inlineStr">
        <is>
          <t>可组</t>
        </is>
      </c>
      <c r="R247" s="37" t="n"/>
    </row>
    <row r="248" ht="28" customHeight="1">
      <c r="A248" s="36" t="inlineStr">
        <is>
          <t>wayfarer_camp</t>
        </is>
      </c>
      <c r="B248" s="36" t="inlineStr">
        <is>
          <t>旅者营地</t>
        </is>
      </c>
      <c r="C248" s="36" t="inlineStr">
        <is>
          <t>中立</t>
        </is>
      </c>
      <c r="D248" s="36" t="inlineStr">
        <is>
          <t>阵型</t>
        </is>
      </c>
      <c r="E248" s="36" t="inlineStr">
        <is>
          <t>稀有</t>
        </is>
      </c>
      <c r="F248" s="6" t="n">
        <v>3</v>
      </c>
      <c r="G248" s="6" t="n"/>
      <c r="H248" s="6" t="n"/>
      <c r="I248" s="36" t="n">
        <v>2</v>
      </c>
      <c r="J248" s="37" t="n"/>
      <c r="K248" s="37" t="inlineStr">
        <is>
          <t>该阵位友方随从固定获得 +0/+1 和拦截。</t>
        </is>
      </c>
      <c r="L248" s="37" t="n"/>
      <c r="M248" s="8" t="n">
        <v>3</v>
      </c>
      <c r="N248" s="8" t="n"/>
      <c r="O248" s="8" t="n"/>
      <c r="P248" s="38">
        <f>IF(OR(F248&lt;&gt;M248,IF(AND(G248="",N248=""),FALSE,G248&lt;&gt;N248),IF(AND(H248="",O248=""),FALSE,H248&lt;&gt;O248)),"已改","")</f>
        <v/>
      </c>
      <c r="Q248" s="38" t="inlineStr">
        <is>
          <t>可组</t>
        </is>
      </c>
      <c r="R248" s="37" t="n"/>
    </row>
    <row r="249" ht="28" customHeight="1">
      <c r="A249" s="36" t="inlineStr">
        <is>
          <t>wanderer_charm</t>
        </is>
      </c>
      <c r="B249" s="36" t="inlineStr">
        <is>
          <t>旅者护符</t>
        </is>
      </c>
      <c r="C249" s="36" t="inlineStr">
        <is>
          <t>中立</t>
        </is>
      </c>
      <c r="D249" s="36" t="inlineStr">
        <is>
          <t>遗物</t>
        </is>
      </c>
      <c r="E249" s="36" t="inlineStr">
        <is>
          <t>稀有</t>
        </is>
      </c>
      <c r="F249" s="6" t="n">
        <v>2</v>
      </c>
      <c r="G249" s="6" t="n"/>
      <c r="H249" s="6" t="n"/>
      <c r="I249" s="36" t="n">
        <v>1</v>
      </c>
      <c r="J249" s="37" t="n"/>
      <c r="K249" s="37" t="inlineStr">
        <is>
          <t>遗物：你的领袖生命上限 +5。</t>
        </is>
      </c>
      <c r="L249" s="37" t="n"/>
      <c r="M249" s="8" t="n">
        <v>2</v>
      </c>
      <c r="N249" s="8" t="n"/>
      <c r="O249" s="8" t="n"/>
      <c r="P249" s="38">
        <f>IF(OR(F249&lt;&gt;M249,IF(AND(G249="",N249=""),FALSE,G249&lt;&gt;N249),IF(AND(H249="",O249=""),FALSE,H249&lt;&gt;O249)),"已改","")</f>
        <v/>
      </c>
      <c r="Q249" s="40" t="inlineStr">
        <is>
          <t>遗物</t>
        </is>
      </c>
      <c r="R249" s="37" t="n"/>
    </row>
    <row r="250" ht="28" customHeight="1"/>
    <row r="251" ht="28" customHeight="1"/>
    <row r="252" ht="28" customHeight="1"/>
    <row r="253" ht="28" customHeight="1"/>
    <row r="254" ht="28" customHeight="1"/>
    <row r="255" ht="28" customHeight="1"/>
    <row r="256" ht="28" customHeight="1"/>
    <row r="257" ht="28" customHeight="1"/>
    <row r="258" ht="28" customHeight="1"/>
    <row r="259" ht="28" customHeight="1"/>
    <row r="260" ht="28" customHeight="1"/>
    <row r="261" ht="28" customHeight="1"/>
    <row r="262" ht="28" customHeight="1"/>
    <row r="263" ht="28" customHeight="1"/>
    <row r="264" ht="28" customHeight="1"/>
    <row r="265" ht="28" customHeight="1"/>
    <row r="266" ht="28" customHeight="1"/>
    <row r="267" ht="28" customHeight="1"/>
    <row r="268" ht="28" customHeight="1"/>
    <row r="269" ht="28" customHeight="1"/>
    <row r="270" ht="28" customHeight="1"/>
    <row r="271" ht="28" customHeight="1"/>
    <row r="272" ht="28" customHeight="1"/>
    <row r="273" ht="28" customHeight="1"/>
    <row r="274" ht="28" customHeight="1"/>
    <row r="275" ht="28" customHeight="1"/>
    <row r="276" ht="28" customHeight="1"/>
    <row r="277" ht="28" customHeight="1"/>
    <row r="278" ht="28" customHeight="1"/>
    <row r="279" ht="28" customHeight="1"/>
    <row r="280" ht="28" customHeight="1"/>
    <row r="281" ht="28" customHeight="1"/>
    <row r="282" ht="28" customHeight="1"/>
    <row r="283" ht="28" customHeight="1"/>
    <row r="284" ht="28" customHeight="1"/>
    <row r="285" ht="28" customHeight="1"/>
    <row r="286" ht="28" customHeight="1"/>
    <row r="287" ht="28" customHeight="1"/>
    <row r="288" ht="28" customHeight="1"/>
    <row r="289" ht="28" customHeight="1"/>
    <row r="290" ht="28" customHeight="1"/>
    <row r="291" ht="28" customHeight="1"/>
    <row r="292" ht="28" customHeight="1"/>
    <row r="293" ht="28" customHeight="1"/>
    <row r="294" ht="28" customHeight="1"/>
    <row r="295" ht="28" customHeight="1"/>
    <row r="296" ht="28" customHeight="1"/>
    <row r="297" ht="28" customHeight="1"/>
    <row r="298" ht="28" customHeight="1"/>
    <row r="299" ht="28" customHeight="1"/>
    <row r="300" ht="28" customHeight="1"/>
    <row r="301" ht="28" customHeight="1"/>
    <row r="302" ht="28" customHeight="1"/>
    <row r="303" ht="28" customHeight="1"/>
    <row r="304" ht="28" customHeight="1"/>
    <row r="305" ht="28" customHeight="1"/>
    <row r="306" ht="28" customHeight="1"/>
    <row r="307" ht="28" customHeight="1"/>
    <row r="308" ht="28" customHeight="1"/>
    <row r="309" ht="28" customHeight="1"/>
    <row r="310" ht="28" customHeight="1"/>
    <row r="311" ht="28" customHeight="1"/>
    <row r="312" ht="28" customHeight="1"/>
    <row r="313" ht="28" customHeight="1"/>
    <row r="314" ht="28" customHeight="1"/>
    <row r="315" ht="28" customHeight="1"/>
    <row r="316" ht="28" customHeight="1"/>
    <row r="317" ht="28" customHeight="1"/>
    <row r="318" ht="28" customHeight="1"/>
    <row r="319" ht="28" customHeight="1"/>
    <row r="320" ht="28" customHeight="1"/>
    <row r="321" ht="28" customHeight="1"/>
    <row r="322" ht="28" customHeight="1"/>
    <row r="323" ht="28" customHeight="1"/>
    <row r="324" ht="28" customHeight="1"/>
    <row r="325" ht="28" customHeight="1"/>
    <row r="326" ht="28" customHeight="1"/>
    <row r="327" ht="28" customHeight="1"/>
    <row r="328" ht="28" customHeight="1"/>
    <row r="329" ht="28" customHeight="1"/>
    <row r="330" ht="28" customHeight="1"/>
  </sheetData>
  <autoFilter ref="A5:R249"/>
  <mergeCells count="3">
    <mergeCell ref="A3:R3"/>
    <mergeCell ref="A2:R2"/>
    <mergeCell ref="A1:R1"/>
  </mergeCells>
  <conditionalFormatting sqref="P6:P249">
    <cfRule type="expression" priority="1" dxfId="3">
      <formula>$P6="已改"</formula>
    </cfRule>
  </conditionalFormatting>
  <conditionalFormatting sqref="Q6:Q249">
    <cfRule type="expression" priority="2" dxfId="2">
      <formula>$Q6="实验"</formula>
    </cfRule>
    <cfRule type="expression" priority="3" dxfId="1">
      <formula>$Q6="禁用"</formula>
    </cfRule>
  </conditionalFormatting>
  <dataValidations count="3">
    <dataValidation sqref="F6:F249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  <dataValidation sqref="G6:G249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  <dataValidation sqref="H6:H249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9" customWidth="1" min="4" max="4"/>
    <col width="7" customWidth="1" min="5" max="5"/>
    <col width="7" customWidth="1" min="6" max="6"/>
    <col width="7" customWidth="1" min="7" max="7"/>
    <col width="16" customWidth="1" min="8" max="8"/>
    <col width="56" customWidth="1" min="9" max="9"/>
    <col width="34" customWidth="1" min="10" max="10"/>
  </cols>
  <sheetData>
    <row r="1" ht="26" customHeight="1">
      <c r="A1" s="42" t="inlineStr">
        <is>
          <t>衍生物 / 召唤物</t>
        </is>
      </c>
    </row>
    <row r="2" ht="20" customHeight="1">
      <c r="A2" s="43" t="inlineStr">
        <is>
          <t>这些牌不由玩家直接组入牌组，但参与战斗；数值以游戏数据为准。</t>
        </is>
      </c>
    </row>
    <row r="4" ht="24" customHeight="1">
      <c r="A4" s="44" t="inlineStr">
        <is>
          <t>ID</t>
        </is>
      </c>
      <c r="B4" s="44" t="inlineStr">
        <is>
          <t>卡牌名</t>
        </is>
      </c>
      <c r="C4" s="44" t="inlineStr">
        <is>
          <t>阵营</t>
        </is>
      </c>
      <c r="D4" s="44" t="inlineStr">
        <is>
          <t>类型</t>
        </is>
      </c>
      <c r="E4" s="44" t="inlineStr">
        <is>
          <t>费用</t>
        </is>
      </c>
      <c r="F4" s="44" t="inlineStr">
        <is>
          <t>攻击</t>
        </is>
      </c>
      <c r="G4" s="44" t="inlineStr">
        <is>
          <t>生命</t>
        </is>
      </c>
      <c r="H4" s="44" t="inlineStr">
        <is>
          <t>关键词</t>
        </is>
      </c>
      <c r="I4" s="44" t="inlineStr">
        <is>
          <t>卡牌文本</t>
        </is>
      </c>
      <c r="J4" s="44" t="inlineStr">
        <is>
          <t>效果类型</t>
        </is>
      </c>
    </row>
    <row r="5" ht="28" customHeight="1">
      <c r="A5" s="45" t="inlineStr">
        <is>
          <t>mining_permit</t>
        </is>
      </c>
      <c r="B5" s="45" t="inlineStr">
        <is>
          <t>采掘许可</t>
        </is>
      </c>
      <c r="C5" s="45" t="inlineStr">
        <is>
          <t>中立</t>
        </is>
      </c>
      <c r="D5" s="45" t="inlineStr">
        <is>
          <t>战术</t>
        </is>
      </c>
      <c r="E5" s="45" t="n">
        <v>0</v>
      </c>
      <c r="F5" s="45" t="n"/>
      <c r="G5" s="45" t="n"/>
      <c r="H5" s="46" t="n"/>
      <c r="I5" s="46" t="inlineStr">
        <is>
          <t>本回合获得 2 点行动力。</t>
        </is>
      </c>
      <c r="J5" s="46" t="inlineStr">
        <is>
          <t>spell:gainMana</t>
        </is>
      </c>
    </row>
    <row r="6" ht="28" customHeight="1">
      <c r="A6" s="45" t="inlineStr">
        <is>
          <t>losutai_imp</t>
        </is>
      </c>
      <c r="B6" s="45" t="inlineStr">
        <is>
          <t>洛斯汰魔物</t>
        </is>
      </c>
      <c r="C6" s="45" t="inlineStr">
        <is>
          <t>西昭</t>
        </is>
      </c>
      <c r="D6" s="45" t="inlineStr">
        <is>
          <t>随从</t>
        </is>
      </c>
      <c r="E6" s="45" t="n">
        <v>1</v>
      </c>
      <c r="F6" s="45" t="n">
        <v>1</v>
      </c>
      <c r="G6" s="45" t="n">
        <v>1</v>
      </c>
      <c r="H6" s="46" t="inlineStr">
        <is>
          <t>余响</t>
        </is>
      </c>
      <c r="I6" s="46" t="inlineStr">
        <is>
          <t>余响：对随机敌方单位造成等同于攻击力的伤害（最高 5 点）。每回合开始时获得 +1/+1。</t>
        </is>
      </c>
      <c r="J6" s="46" t="inlineStr">
        <is>
          <t>deathrattle:damageRandomEnemy；passive:turnGrowth</t>
        </is>
      </c>
    </row>
    <row r="7" ht="28" customHeight="1">
      <c r="A7" s="45" t="inlineStr">
        <is>
          <t>losutai_beast</t>
        </is>
      </c>
      <c r="B7" s="45" t="inlineStr">
        <is>
          <t>洛斯汰巨兽</t>
        </is>
      </c>
      <c r="C7" s="45" t="inlineStr">
        <is>
          <t>西昭</t>
        </is>
      </c>
      <c r="D7" s="45" t="inlineStr">
        <is>
          <t>随从</t>
        </is>
      </c>
      <c r="E7" s="45" t="n">
        <v>3</v>
      </c>
      <c r="F7" s="45" t="n">
        <v>3</v>
      </c>
      <c r="G7" s="45" t="n">
        <v>3</v>
      </c>
      <c r="H7" s="46" t="n"/>
      <c r="I7" s="46" t="inlineStr"/>
      <c r="J7" s="46" t="n"/>
    </row>
    <row r="8" ht="28" customHeight="1">
      <c r="A8" s="45" t="inlineStr">
        <is>
          <t>obsidian_spawn</t>
        </is>
      </c>
      <c r="B8" s="45" t="inlineStr">
        <is>
          <t>黑曜碎片</t>
        </is>
      </c>
      <c r="C8" s="45" t="inlineStr">
        <is>
          <t>中立</t>
        </is>
      </c>
      <c r="D8" s="45" t="inlineStr">
        <is>
          <t>随从</t>
        </is>
      </c>
      <c r="E8" s="45" t="n">
        <v>3</v>
      </c>
      <c r="F8" s="45" t="n">
        <v>3</v>
      </c>
      <c r="G8" s="45" t="n">
        <v>3</v>
      </c>
      <c r="H8" s="46" t="n"/>
      <c r="I8" s="46" t="inlineStr"/>
      <c r="J8" s="46" t="n"/>
    </row>
    <row r="9" ht="28" customHeight="1">
      <c r="A9" s="45" t="inlineStr">
        <is>
          <t>grave_guard</t>
        </is>
      </c>
      <c r="B9" s="45" t="inlineStr">
        <is>
          <t>墓钟守卫</t>
        </is>
      </c>
      <c r="C9" s="45" t="inlineStr">
        <is>
          <t>中立</t>
        </is>
      </c>
      <c r="D9" s="45" t="inlineStr">
        <is>
          <t>随从</t>
        </is>
      </c>
      <c r="E9" s="45" t="n">
        <v>5</v>
      </c>
      <c r="F9" s="45" t="n">
        <v>5</v>
      </c>
      <c r="G9" s="45" t="n">
        <v>5</v>
      </c>
      <c r="H9" s="46" t="n"/>
      <c r="I9" s="46" t="inlineStr"/>
      <c r="J9" s="46" t="n"/>
    </row>
    <row r="10" ht="28" customHeight="1">
      <c r="A10" s="45" t="inlineStr">
        <is>
          <t>astral_guardian</t>
        </is>
      </c>
      <c r="B10" s="45" t="inlineStr">
        <is>
          <t>星界守卫</t>
        </is>
      </c>
      <c r="C10" s="45" t="inlineStr">
        <is>
          <t>中立</t>
        </is>
      </c>
      <c r="D10" s="45" t="inlineStr">
        <is>
          <t>随从</t>
        </is>
      </c>
      <c r="E10" s="45" t="n">
        <v>3</v>
      </c>
      <c r="F10" s="45" t="n">
        <v>3</v>
      </c>
      <c r="G10" s="45" t="n">
        <v>3</v>
      </c>
      <c r="H10" s="46" t="n"/>
      <c r="I10" s="46" t="inlineStr"/>
      <c r="J10" s="46" t="n"/>
    </row>
    <row r="11" ht="28" customHeight="1">
      <c r="A11" s="45" t="inlineStr">
        <is>
          <t>record_shot</t>
        </is>
      </c>
      <c r="B11" s="45" t="inlineStr">
        <is>
          <t>记录弹</t>
        </is>
      </c>
      <c r="C11" s="45" t="inlineStr">
        <is>
          <t>学院</t>
        </is>
      </c>
      <c r="D11" s="45" t="inlineStr">
        <is>
          <t>战术</t>
        </is>
      </c>
      <c r="E11" s="45" t="n">
        <v>0</v>
      </c>
      <c r="F11" s="45" t="n"/>
      <c r="G11" s="45" t="n"/>
      <c r="H11" s="46" t="n"/>
      <c r="I11" s="46" t="inlineStr">
        <is>
          <t>对一个敌方随从造成 1 点伤害。</t>
        </is>
      </c>
      <c r="J11" s="46" t="inlineStr">
        <is>
          <t>spell:damage</t>
        </is>
      </c>
    </row>
    <row r="12" ht="28" customHeight="1">
      <c r="A12" s="45" t="inlineStr">
        <is>
          <t>republic_recruit</t>
        </is>
      </c>
      <c r="B12" s="45" t="inlineStr">
        <is>
          <t>共和国新兵</t>
        </is>
      </c>
      <c r="C12" s="45" t="inlineStr">
        <is>
          <t>共和国</t>
        </is>
      </c>
      <c r="D12" s="45" t="inlineStr">
        <is>
          <t>随从</t>
        </is>
      </c>
      <c r="E12" s="45" t="n">
        <v>1</v>
      </c>
      <c r="F12" s="45" t="n">
        <v>1</v>
      </c>
      <c r="G12" s="45" t="n">
        <v>1</v>
      </c>
      <c r="H12" s="46" t="n"/>
      <c r="I12" s="46" t="inlineStr"/>
      <c r="J12" s="46" t="n"/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4BD72"/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</cols>
  <sheetData>
    <row r="1" ht="30" customHeight="1">
      <c r="A1" s="61" t="inlineStr">
        <is>
          <t>稳定版对位胜率矩阵</t>
        </is>
      </c>
    </row>
    <row r="2" ht="34" customHeight="1">
      <c r="A2" s="62" t="inlineStr">
        <is>
          <t>稳定版 20261020e24.5 · 每组对位 40 局，共 1440 局。胜率按分胜负对局计算；平局 7，卡死 0。绿=优，红=劣。</t>
        </is>
      </c>
    </row>
    <row r="4" ht="32" customHeight="1">
      <c r="A4" s="63" t="inlineStr">
        <is>
          <t>进攻方 \ 防守方</t>
        </is>
      </c>
      <c r="B4" s="63" t="inlineStr">
        <is>
          <t>普卫岛</t>
        </is>
      </c>
      <c r="C4" s="63" t="inlineStr">
        <is>
          <t>学院</t>
        </is>
      </c>
      <c r="D4" s="63" t="inlineStr">
        <is>
          <t>西昭</t>
        </is>
      </c>
      <c r="E4" s="63" t="inlineStr">
        <is>
          <t>共和国</t>
        </is>
      </c>
      <c r="F4" s="63" t="inlineStr">
        <is>
          <t>帝国</t>
        </is>
      </c>
      <c r="G4" s="63" t="inlineStr">
        <is>
          <t>灰港同盟</t>
        </is>
      </c>
      <c r="H4" s="63" t="inlineStr">
        <is>
          <t>总胜率</t>
        </is>
      </c>
      <c r="I4" s="63" t="inlineStr">
        <is>
          <t>样本</t>
        </is>
      </c>
    </row>
    <row r="5">
      <c r="A5" s="64" t="inlineStr">
        <is>
          <t>普卫岛</t>
        </is>
      </c>
      <c r="B5" s="65" t="n">
        <v>0.625</v>
      </c>
      <c r="C5" s="65" t="n">
        <v>0.525</v>
      </c>
      <c r="D5" s="65" t="n">
        <v>0.65</v>
      </c>
      <c r="E5" s="65" t="n">
        <v>0.525</v>
      </c>
      <c r="F5" s="65" t="n">
        <v>0.425</v>
      </c>
      <c r="G5" s="65" t="n">
        <v>0.65</v>
      </c>
      <c r="H5" s="66" t="n">
        <v>0.53125</v>
      </c>
      <c r="I5" s="67" t="n">
        <v>480</v>
      </c>
    </row>
    <row r="6">
      <c r="A6" s="64" t="inlineStr">
        <is>
          <t>学院</t>
        </is>
      </c>
      <c r="B6" s="65" t="n">
        <v>0.4</v>
      </c>
      <c r="C6" s="65" t="n">
        <v>0.5</v>
      </c>
      <c r="D6" s="65" t="n">
        <v>0.725</v>
      </c>
      <c r="E6" s="65" t="n">
        <v>0.625</v>
      </c>
      <c r="F6" s="65" t="n">
        <v>0.4</v>
      </c>
      <c r="G6" s="65" t="n">
        <v>0.775</v>
      </c>
      <c r="H6" s="66" t="n">
        <v>0.5375</v>
      </c>
      <c r="I6" s="67" t="n">
        <v>480</v>
      </c>
    </row>
    <row r="7">
      <c r="A7" s="64" t="inlineStr">
        <is>
          <t>西昭</t>
        </is>
      </c>
      <c r="B7" s="65" t="n">
        <v>0.375</v>
      </c>
      <c r="C7" s="65" t="n">
        <v>0.45</v>
      </c>
      <c r="D7" s="65" t="n">
        <v>0.65</v>
      </c>
      <c r="E7" s="65" t="n">
        <v>0.4</v>
      </c>
      <c r="F7" s="65" t="n">
        <v>0.45</v>
      </c>
      <c r="G7" s="65" t="n">
        <v>0.675</v>
      </c>
      <c r="H7" s="66" t="n">
        <v>0.4645833333333333</v>
      </c>
      <c r="I7" s="67" t="n">
        <v>480</v>
      </c>
    </row>
    <row r="8">
      <c r="A8" s="64" t="inlineStr">
        <is>
          <t>共和国</t>
        </is>
      </c>
      <c r="B8" s="65" t="n">
        <v>0.625</v>
      </c>
      <c r="C8" s="65" t="n">
        <v>0.5</v>
      </c>
      <c r="D8" s="65" t="n">
        <v>0.4</v>
      </c>
      <c r="E8" s="65" t="n">
        <v>0.525</v>
      </c>
      <c r="F8" s="65" t="n">
        <v>0.425</v>
      </c>
      <c r="G8" s="65" t="n">
        <v>0.55</v>
      </c>
      <c r="H8" s="66" t="n">
        <v>0.4895833333333333</v>
      </c>
      <c r="I8" s="67" t="n">
        <v>480</v>
      </c>
    </row>
    <row r="9">
      <c r="A9" s="64" t="inlineStr">
        <is>
          <t>帝国</t>
        </is>
      </c>
      <c r="B9" s="65" t="n">
        <v>0.55</v>
      </c>
      <c r="C9" s="65" t="n">
        <v>0.7</v>
      </c>
      <c r="D9" s="65" t="n">
        <v>0.475</v>
      </c>
      <c r="E9" s="65" t="n">
        <v>0.7</v>
      </c>
      <c r="F9" s="65" t="n">
        <v>0.475</v>
      </c>
      <c r="G9" s="65" t="n">
        <v>0.775</v>
      </c>
      <c r="H9" s="66" t="n">
        <v>0.6125</v>
      </c>
      <c r="I9" s="67" t="n">
        <v>480</v>
      </c>
    </row>
    <row r="10">
      <c r="A10" s="64" t="inlineStr">
        <is>
          <t>灰港同盟</t>
        </is>
      </c>
      <c r="B10" s="65" t="n">
        <v>0.45</v>
      </c>
      <c r="C10" s="65" t="n">
        <v>0.275</v>
      </c>
      <c r="D10" s="65" t="n">
        <v>0.5</v>
      </c>
      <c r="E10" s="65" t="n">
        <v>0.375</v>
      </c>
      <c r="F10" s="65" t="n">
        <v>0.1</v>
      </c>
      <c r="G10" s="65" t="n">
        <v>0.625</v>
      </c>
      <c r="H10" s="66" t="n">
        <v>0.35</v>
      </c>
      <c r="I10" s="67" t="n">
        <v>480</v>
      </c>
    </row>
  </sheetData>
  <autoFilter ref="A4:I10"/>
  <mergeCells count="2">
    <mergeCell ref="A1:I1"/>
    <mergeCell ref="A2:I2"/>
  </mergeCells>
  <conditionalFormatting sqref="B5:G10">
    <cfRule type="colorScale" priority="1">
      <colorScale>
        <cfvo type="num" val="0"/>
        <cfvo type="num" val="0.5"/>
        <cfvo type="num" val="1"/>
        <color rgb="00E58D86"/>
        <color rgb="00FFF2CC"/>
        <color rgb="0079D6C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FAE8F"/>
    <outlinePr summaryBelow="1" summaryRight="1"/>
    <pageSetUpPr/>
  </sheetPr>
  <dimension ref="A1:J2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1" customWidth="1" min="3" max="3"/>
    <col width="9" customWidth="1" min="4" max="4"/>
    <col width="7" customWidth="1" min="5" max="5"/>
    <col width="9" customWidth="1" min="6" max="6"/>
    <col width="8" customWidth="1" min="7" max="7"/>
    <col width="10" customWidth="1" min="8" max="8"/>
    <col width="11" customWidth="1" min="9" max="9"/>
    <col width="14" customWidth="1" min="10" max="10"/>
  </cols>
  <sheetData>
    <row r="1" ht="30" customHeight="1">
      <c r="A1" s="61" t="inlineStr">
        <is>
          <t>稳定版卡牌出场胜率</t>
        </is>
      </c>
    </row>
    <row r="2" ht="34" customHeight="1">
      <c r="A2" s="62" t="inlineStr">
        <is>
          <t>出场胜率 = 包含该卡出场且分出胜负的对局胜率，不是单卡因果/消融结果。用于找异常卡，不用于替代完整平衡测试。</t>
        </is>
      </c>
    </row>
    <row r="4" ht="32" customHeight="1">
      <c r="A4" s="63" t="inlineStr">
        <is>
          <t>卡牌ID</t>
        </is>
      </c>
      <c r="B4" s="63" t="inlineStr">
        <is>
          <t>卡牌名</t>
        </is>
      </c>
      <c r="C4" s="63" t="inlineStr">
        <is>
          <t>阵营</t>
        </is>
      </c>
      <c r="D4" s="63" t="inlineStr">
        <is>
          <t>类型</t>
        </is>
      </c>
      <c r="E4" s="63" t="inlineStr">
        <is>
          <t>费用</t>
        </is>
      </c>
      <c r="F4" s="63" t="inlineStr">
        <is>
          <t>出场局数</t>
        </is>
      </c>
      <c r="G4" s="63" t="inlineStr">
        <is>
          <t>胜场</t>
        </is>
      </c>
      <c r="H4" s="63" t="inlineStr">
        <is>
          <t>出场胜率</t>
        </is>
      </c>
      <c r="I4" s="63" t="inlineStr">
        <is>
          <t>相对本阵营</t>
        </is>
      </c>
      <c r="J4" s="63" t="inlineStr">
        <is>
          <t>备注</t>
        </is>
      </c>
    </row>
    <row r="5">
      <c r="A5" s="67" t="inlineStr">
        <is>
          <t>caravan_guard</t>
        </is>
      </c>
      <c r="B5" s="68" t="inlineStr">
        <is>
          <t>商队护卫</t>
        </is>
      </c>
      <c r="C5" s="67" t="inlineStr">
        <is>
          <t>中立</t>
        </is>
      </c>
      <c r="D5" s="67" t="inlineStr">
        <is>
          <t>随从</t>
        </is>
      </c>
      <c r="E5" s="67" t="n">
        <v>4</v>
      </c>
      <c r="F5" s="67" t="n">
        <v>1545</v>
      </c>
      <c r="G5" s="67" t="n">
        <v>841</v>
      </c>
      <c r="H5" s="65" t="n">
        <v>0.544336569579288</v>
      </c>
      <c r="I5" s="69" t="n">
        <v>0.018167693096385</v>
      </c>
      <c r="J5" s="68" t="inlineStr"/>
    </row>
    <row r="6">
      <c r="A6" s="67" t="inlineStr">
        <is>
          <t>mist_scout</t>
        </is>
      </c>
      <c r="B6" s="68" t="inlineStr">
        <is>
          <t>雾境斥候</t>
        </is>
      </c>
      <c r="C6" s="67" t="inlineStr">
        <is>
          <t>中立</t>
        </is>
      </c>
      <c r="D6" s="67" t="inlineStr">
        <is>
          <t>随从</t>
        </is>
      </c>
      <c r="E6" s="67" t="n">
        <v>2</v>
      </c>
      <c r="F6" s="67" t="n">
        <v>1467</v>
      </c>
      <c r="G6" s="67" t="n">
        <v>773</v>
      </c>
      <c r="H6" s="65" t="n">
        <v>0.5269256987048399</v>
      </c>
      <c r="I6" s="69" t="n">
        <v>0.0007568222219368481</v>
      </c>
      <c r="J6" s="68" t="inlineStr"/>
    </row>
    <row r="7">
      <c r="A7" s="67" t="inlineStr">
        <is>
          <t>gok_digger</t>
        </is>
      </c>
      <c r="B7" s="68" t="inlineStr">
        <is>
          <t>戈克采掘者</t>
        </is>
      </c>
      <c r="C7" s="67" t="inlineStr">
        <is>
          <t>中立</t>
        </is>
      </c>
      <c r="D7" s="67" t="inlineStr">
        <is>
          <t>随从</t>
        </is>
      </c>
      <c r="E7" s="67" t="n">
        <v>2</v>
      </c>
      <c r="F7" s="67" t="n">
        <v>1447</v>
      </c>
      <c r="G7" s="67" t="n">
        <v>828</v>
      </c>
      <c r="H7" s="65" t="n">
        <v>0.5722183828610919</v>
      </c>
      <c r="I7" s="69" t="n">
        <v>0.04604950637818894</v>
      </c>
      <c r="J7" s="68" t="inlineStr"/>
    </row>
    <row r="8">
      <c r="A8" s="67" t="inlineStr">
        <is>
          <t>snow_medic</t>
        </is>
      </c>
      <c r="B8" s="68" t="inlineStr">
        <is>
          <t>雪镇医者</t>
        </is>
      </c>
      <c r="C8" s="67" t="inlineStr">
        <is>
          <t>中立</t>
        </is>
      </c>
      <c r="D8" s="67" t="inlineStr">
        <is>
          <t>随从</t>
        </is>
      </c>
      <c r="E8" s="67" t="n">
        <v>1</v>
      </c>
      <c r="F8" s="67" t="n">
        <v>1283</v>
      </c>
      <c r="G8" s="67" t="n">
        <v>658</v>
      </c>
      <c r="H8" s="65" t="n">
        <v>0.5128604832424006</v>
      </c>
      <c r="I8" s="69" t="n">
        <v>-0.01330839324050237</v>
      </c>
      <c r="J8" s="68" t="inlineStr"/>
    </row>
    <row r="9">
      <c r="A9" s="67" t="inlineStr">
        <is>
          <t>fog_sailor</t>
        </is>
      </c>
      <c r="B9" s="68" t="inlineStr">
        <is>
          <t>雾港水手</t>
        </is>
      </c>
      <c r="C9" s="67" t="inlineStr">
        <is>
          <t>中立</t>
        </is>
      </c>
      <c r="D9" s="67" t="inlineStr">
        <is>
          <t>随从</t>
        </is>
      </c>
      <c r="E9" s="67" t="n">
        <v>1</v>
      </c>
      <c r="F9" s="67" t="n">
        <v>917</v>
      </c>
      <c r="G9" s="67" t="n">
        <v>485</v>
      </c>
      <c r="H9" s="65" t="n">
        <v>0.5288985823336968</v>
      </c>
      <c r="I9" s="69" t="n">
        <v>0.002729705850793795</v>
      </c>
      <c r="J9" s="68" t="inlineStr"/>
    </row>
    <row r="10">
      <c r="A10" s="67" t="inlineStr">
        <is>
          <t>neutral_wayfarer</t>
        </is>
      </c>
      <c r="B10" s="68" t="inlineStr">
        <is>
          <t>无籍旅者</t>
        </is>
      </c>
      <c r="C10" s="67" t="inlineStr">
        <is>
          <t>中立</t>
        </is>
      </c>
      <c r="D10" s="67" t="inlineStr">
        <is>
          <t>随从</t>
        </is>
      </c>
      <c r="E10" s="67" t="n">
        <v>3</v>
      </c>
      <c r="F10" s="67" t="n">
        <v>856</v>
      </c>
      <c r="G10" s="67" t="n">
        <v>443</v>
      </c>
      <c r="H10" s="65" t="n">
        <v>0.5175233644859814</v>
      </c>
      <c r="I10" s="69" t="n">
        <v>-0.008645511996921651</v>
      </c>
      <c r="J10" s="68" t="inlineStr"/>
    </row>
    <row r="11">
      <c r="A11" s="67" t="inlineStr">
        <is>
          <t>formula_fix</t>
        </is>
      </c>
      <c r="B11" s="68" t="inlineStr">
        <is>
          <t>公式修正</t>
        </is>
      </c>
      <c r="C11" s="67" t="inlineStr">
        <is>
          <t>学院</t>
        </is>
      </c>
      <c r="D11" s="67" t="inlineStr">
        <is>
          <t>战术</t>
        </is>
      </c>
      <c r="E11" s="67" t="n">
        <v>4</v>
      </c>
      <c r="F11" s="67" t="n">
        <v>355</v>
      </c>
      <c r="G11" s="67" t="n">
        <v>184</v>
      </c>
      <c r="H11" s="65" t="n">
        <v>0.5183098591549296</v>
      </c>
      <c r="I11" s="69" t="n">
        <v>-0.01919014084507042</v>
      </c>
      <c r="J11" s="68" t="inlineStr"/>
    </row>
    <row r="12">
      <c r="A12" s="67" t="inlineStr">
        <is>
          <t>double_formula</t>
        </is>
      </c>
      <c r="B12" s="68" t="inlineStr">
        <is>
          <t>双重公式</t>
        </is>
      </c>
      <c r="C12" s="67" t="inlineStr">
        <is>
          <t>学院</t>
        </is>
      </c>
      <c r="D12" s="67" t="inlineStr">
        <is>
          <t>战术</t>
        </is>
      </c>
      <c r="E12" s="67" t="n">
        <v>3</v>
      </c>
      <c r="F12" s="67" t="n">
        <v>331</v>
      </c>
      <c r="G12" s="67" t="n">
        <v>174</v>
      </c>
      <c r="H12" s="65" t="n">
        <v>0.5256797583081571</v>
      </c>
      <c r="I12" s="69" t="n">
        <v>-0.01182024169184293</v>
      </c>
      <c r="J12" s="68" t="inlineStr"/>
    </row>
    <row r="13">
      <c r="A13" s="67" t="inlineStr">
        <is>
          <t>losutai_hunter</t>
        </is>
      </c>
      <c r="B13" s="68" t="inlineStr">
        <is>
          <t>洛斯汰猎手</t>
        </is>
      </c>
      <c r="C13" s="67" t="inlineStr">
        <is>
          <t>西昭</t>
        </is>
      </c>
      <c r="D13" s="67" t="inlineStr">
        <is>
          <t>随从</t>
        </is>
      </c>
      <c r="E13" s="67" t="n">
        <v>3</v>
      </c>
      <c r="F13" s="67" t="n">
        <v>319</v>
      </c>
      <c r="G13" s="67" t="n">
        <v>147</v>
      </c>
      <c r="H13" s="65" t="n">
        <v>0.4608150470219436</v>
      </c>
      <c r="I13" s="69" t="n">
        <v>-0.003768286311389757</v>
      </c>
      <c r="J13" s="68" t="inlineStr"/>
    </row>
    <row r="14">
      <c r="A14" s="67" t="inlineStr">
        <is>
          <t>frost_seal</t>
        </is>
      </c>
      <c r="B14" s="68" t="inlineStr">
        <is>
          <t>寒霜封印</t>
        </is>
      </c>
      <c r="C14" s="67" t="inlineStr">
        <is>
          <t>学院</t>
        </is>
      </c>
      <c r="D14" s="67" t="inlineStr">
        <is>
          <t>战术</t>
        </is>
      </c>
      <c r="E14" s="67" t="n">
        <v>2</v>
      </c>
      <c r="F14" s="67" t="n">
        <v>316</v>
      </c>
      <c r="G14" s="67" t="n">
        <v>165</v>
      </c>
      <c r="H14" s="65" t="n">
        <v>0.5221518987341772</v>
      </c>
      <c r="I14" s="69" t="n">
        <v>-0.01534810126582276</v>
      </c>
      <c r="J14" s="68" t="inlineStr"/>
    </row>
    <row r="15">
      <c r="A15" s="67" t="inlineStr">
        <is>
          <t>coordination</t>
        </is>
      </c>
      <c r="B15" s="68" t="inlineStr">
        <is>
          <t>协同调度</t>
        </is>
      </c>
      <c r="C15" s="67" t="inlineStr">
        <is>
          <t>普卫岛</t>
        </is>
      </c>
      <c r="D15" s="67" t="inlineStr">
        <is>
          <t>战术</t>
        </is>
      </c>
      <c r="E15" s="67" t="n">
        <v>2</v>
      </c>
      <c r="F15" s="67" t="n">
        <v>304</v>
      </c>
      <c r="G15" s="67" t="n">
        <v>160</v>
      </c>
      <c r="H15" s="65" t="n">
        <v>0.5263157894736842</v>
      </c>
      <c r="I15" s="69" t="n">
        <v>-0.004934210526315819</v>
      </c>
      <c r="J15" s="68" t="inlineStr"/>
    </row>
    <row r="16">
      <c r="A16" s="67" t="inlineStr">
        <is>
          <t>vein_scout</t>
        </is>
      </c>
      <c r="B16" s="68" t="inlineStr">
        <is>
          <t>引脉斥候</t>
        </is>
      </c>
      <c r="C16" s="67" t="inlineStr">
        <is>
          <t>普卫岛</t>
        </is>
      </c>
      <c r="D16" s="67" t="inlineStr">
        <is>
          <t>随从</t>
        </is>
      </c>
      <c r="E16" s="67" t="n">
        <v>1</v>
      </c>
      <c r="F16" s="67" t="n">
        <v>297</v>
      </c>
      <c r="G16" s="67" t="n">
        <v>155</v>
      </c>
      <c r="H16" s="65" t="n">
        <v>0.5218855218855218</v>
      </c>
      <c r="I16" s="69" t="n">
        <v>-0.009364478114478159</v>
      </c>
      <c r="J16" s="68" t="inlineStr"/>
    </row>
    <row r="17">
      <c r="A17" s="67" t="inlineStr">
        <is>
          <t>medic_apprentice</t>
        </is>
      </c>
      <c r="B17" s="68" t="inlineStr">
        <is>
          <t>医疗学徒</t>
        </is>
      </c>
      <c r="C17" s="67" t="inlineStr">
        <is>
          <t>普卫岛</t>
        </is>
      </c>
      <c r="D17" s="67" t="inlineStr">
        <is>
          <t>随从</t>
        </is>
      </c>
      <c r="E17" s="67" t="n">
        <v>1</v>
      </c>
      <c r="F17" s="67" t="n">
        <v>296</v>
      </c>
      <c r="G17" s="67" t="n">
        <v>163</v>
      </c>
      <c r="H17" s="65" t="n">
        <v>0.5506756756756757</v>
      </c>
      <c r="I17" s="69" t="n">
        <v>0.01942567567567566</v>
      </c>
      <c r="J17" s="68" t="inlineStr"/>
    </row>
    <row r="18">
      <c r="A18" s="67" t="inlineStr">
        <is>
          <t>debate</t>
        </is>
      </c>
      <c r="B18" s="68" t="inlineStr">
        <is>
          <t>学术辩论</t>
        </is>
      </c>
      <c r="C18" s="67" t="inlineStr">
        <is>
          <t>学院</t>
        </is>
      </c>
      <c r="D18" s="67" t="inlineStr">
        <is>
          <t>战术</t>
        </is>
      </c>
      <c r="E18" s="67" t="n">
        <v>1</v>
      </c>
      <c r="F18" s="67" t="n">
        <v>294</v>
      </c>
      <c r="G18" s="67" t="n">
        <v>155</v>
      </c>
      <c r="H18" s="65" t="n">
        <v>0.5272108843537415</v>
      </c>
      <c r="I18" s="69" t="n">
        <v>-0.01028911564625845</v>
      </c>
      <c r="J18" s="68" t="inlineStr"/>
    </row>
    <row r="19">
      <c r="A19" s="67" t="inlineStr">
        <is>
          <t>resonance</t>
        </is>
      </c>
      <c r="B19" s="68" t="inlineStr">
        <is>
          <t>流脉共鸣</t>
        </is>
      </c>
      <c r="C19" s="67" t="inlineStr">
        <is>
          <t>普卫岛</t>
        </is>
      </c>
      <c r="D19" s="67" t="inlineStr">
        <is>
          <t>战术</t>
        </is>
      </c>
      <c r="E19" s="67" t="n">
        <v>1</v>
      </c>
      <c r="F19" s="67" t="n">
        <v>287</v>
      </c>
      <c r="G19" s="67" t="n">
        <v>150</v>
      </c>
      <c r="H19" s="65" t="n">
        <v>0.5226480836236934</v>
      </c>
      <c r="I19" s="69" t="n">
        <v>-0.008601916376306584</v>
      </c>
      <c r="J19" s="68" t="inlineStr"/>
    </row>
    <row r="20">
      <c r="A20" s="67" t="inlineStr">
        <is>
          <t>ironclad</t>
        </is>
      </c>
      <c r="B20" s="68" t="inlineStr">
        <is>
          <t>铁甲步兵</t>
        </is>
      </c>
      <c r="C20" s="67" t="inlineStr">
        <is>
          <t>帝国</t>
        </is>
      </c>
      <c r="D20" s="67" t="inlineStr">
        <is>
          <t>随从</t>
        </is>
      </c>
      <c r="E20" s="67" t="n">
        <v>3</v>
      </c>
      <c r="F20" s="67" t="n">
        <v>285</v>
      </c>
      <c r="G20" s="67" t="n">
        <v>169</v>
      </c>
      <c r="H20" s="65" t="n">
        <v>0.5929824561403508</v>
      </c>
      <c r="I20" s="69" t="n">
        <v>-0.01951754385964921</v>
      </c>
      <c r="J20" s="68" t="inlineStr"/>
    </row>
    <row r="21">
      <c r="A21" s="67" t="inlineStr">
        <is>
          <t>spellstorm</t>
        </is>
      </c>
      <c r="B21" s="68" t="inlineStr">
        <is>
          <t>法术风暴</t>
        </is>
      </c>
      <c r="C21" s="67" t="inlineStr">
        <is>
          <t>学院</t>
        </is>
      </c>
      <c r="D21" s="67" t="inlineStr">
        <is>
          <t>战术</t>
        </is>
      </c>
      <c r="E21" s="67" t="n">
        <v>8</v>
      </c>
      <c r="F21" s="67" t="n">
        <v>246</v>
      </c>
      <c r="G21" s="67" t="n">
        <v>184</v>
      </c>
      <c r="H21" s="65" t="n">
        <v>0.7479674796747967</v>
      </c>
      <c r="I21" s="69" t="n">
        <v>0.2104674796747967</v>
      </c>
      <c r="J21" s="68" t="inlineStr"/>
    </row>
    <row r="22">
      <c r="A22" s="67" t="inlineStr">
        <is>
          <t>cedric</t>
        </is>
      </c>
      <c r="B22" s="68" t="inlineStr">
        <is>
          <t>塞德里克·威廉莱斯</t>
        </is>
      </c>
      <c r="C22" s="67" t="inlineStr">
        <is>
          <t>共和国</t>
        </is>
      </c>
      <c r="D22" s="67" t="inlineStr">
        <is>
          <t>随从</t>
        </is>
      </c>
      <c r="E22" s="67" t="n">
        <v>5</v>
      </c>
      <c r="F22" s="67" t="n">
        <v>237</v>
      </c>
      <c r="G22" s="67" t="n">
        <v>122</v>
      </c>
      <c r="H22" s="65" t="n">
        <v>0.5147679324894515</v>
      </c>
      <c r="I22" s="69" t="n">
        <v>0.0251845991561182</v>
      </c>
      <c r="J22" s="68" t="inlineStr"/>
    </row>
    <row r="23">
      <c r="A23" s="67" t="inlineStr">
        <is>
          <t>volley</t>
        </is>
      </c>
      <c r="B23" s="68" t="inlineStr">
        <is>
          <t>排枪齐射</t>
        </is>
      </c>
      <c r="C23" s="67" t="inlineStr">
        <is>
          <t>共和国</t>
        </is>
      </c>
      <c r="D23" s="67" t="inlineStr">
        <is>
          <t>战术</t>
        </is>
      </c>
      <c r="E23" s="67" t="n">
        <v>1</v>
      </c>
      <c r="F23" s="67" t="n">
        <v>236</v>
      </c>
      <c r="G23" s="67" t="n">
        <v>104</v>
      </c>
      <c r="H23" s="65" t="n">
        <v>0.4406779661016949</v>
      </c>
      <c r="I23" s="69" t="n">
        <v>-0.04890536723163841</v>
      </c>
      <c r="J23" s="68" t="inlineStr"/>
    </row>
    <row r="24">
      <c r="A24" s="67" t="inlineStr">
        <is>
          <t>gh_bounty_king</t>
        </is>
      </c>
      <c r="B24" s="68" t="inlineStr">
        <is>
          <t>赏金王</t>
        </is>
      </c>
      <c r="C24" s="67" t="inlineStr">
        <is>
          <t>灰港同盟</t>
        </is>
      </c>
      <c r="D24" s="67" t="inlineStr">
        <is>
          <t>随从</t>
        </is>
      </c>
      <c r="E24" s="67" t="n">
        <v>8</v>
      </c>
      <c r="F24" s="67" t="n">
        <v>235</v>
      </c>
      <c r="G24" s="67" t="n">
        <v>120</v>
      </c>
      <c r="H24" s="65" t="n">
        <v>0.5106382978723404</v>
      </c>
      <c r="I24" s="69" t="n">
        <v>0.1606382978723404</v>
      </c>
      <c r="J24" s="68" t="inlineStr"/>
    </row>
    <row r="25">
      <c r="A25" s="67" t="inlineStr">
        <is>
          <t>mobilize</t>
        </is>
      </c>
      <c r="B25" s="68" t="inlineStr">
        <is>
          <t>全国动员</t>
        </is>
      </c>
      <c r="C25" s="67" t="inlineStr">
        <is>
          <t>帝国</t>
        </is>
      </c>
      <c r="D25" s="67" t="inlineStr">
        <is>
          <t>战术</t>
        </is>
      </c>
      <c r="E25" s="67" t="n">
        <v>3</v>
      </c>
      <c r="F25" s="67" t="n">
        <v>231</v>
      </c>
      <c r="G25" s="67" t="n">
        <v>138</v>
      </c>
      <c r="H25" s="65" t="n">
        <v>0.5974025974025974</v>
      </c>
      <c r="I25" s="69" t="n">
        <v>-0.01509740259740266</v>
      </c>
      <c r="J25" s="68" t="inlineStr"/>
    </row>
    <row r="26">
      <c r="A26" s="67" t="inlineStr">
        <is>
          <t>shextena</t>
        </is>
      </c>
      <c r="B26" s="68" t="inlineStr">
        <is>
          <t>希斯蒂娜</t>
        </is>
      </c>
      <c r="C26" s="67" t="inlineStr">
        <is>
          <t>普卫岛</t>
        </is>
      </c>
      <c r="D26" s="67" t="inlineStr">
        <is>
          <t>随从</t>
        </is>
      </c>
      <c r="E26" s="67" t="n">
        <v>4</v>
      </c>
      <c r="F26" s="67" t="n">
        <v>231</v>
      </c>
      <c r="G26" s="67" t="n">
        <v>131</v>
      </c>
      <c r="H26" s="65" t="n">
        <v>0.5670995670995671</v>
      </c>
      <c r="I26" s="69" t="n">
        <v>0.0358495670995671</v>
      </c>
      <c r="J26" s="68" t="inlineStr"/>
    </row>
    <row r="27">
      <c r="A27" s="67" t="inlineStr">
        <is>
          <t>aegis_guard</t>
        </is>
      </c>
      <c r="B27" s="68" t="inlineStr">
        <is>
          <t>护幕守卫</t>
        </is>
      </c>
      <c r="C27" s="67" t="inlineStr">
        <is>
          <t>共和国</t>
        </is>
      </c>
      <c r="D27" s="67" t="inlineStr">
        <is>
          <t>随从</t>
        </is>
      </c>
      <c r="E27" s="67" t="n">
        <v>5</v>
      </c>
      <c r="F27" s="67" t="n">
        <v>230</v>
      </c>
      <c r="G27" s="67" t="n">
        <v>144</v>
      </c>
      <c r="H27" s="65" t="n">
        <v>0.6260869565217392</v>
      </c>
      <c r="I27" s="69" t="n">
        <v>0.1365036231884059</v>
      </c>
      <c r="J27" s="68" t="inlineStr"/>
    </row>
    <row r="28">
      <c r="A28" s="67" t="inlineStr">
        <is>
          <t>arcane_theorist</t>
        </is>
      </c>
      <c r="B28" s="68" t="inlineStr">
        <is>
          <t>奥术理论家</t>
        </is>
      </c>
      <c r="C28" s="67" t="inlineStr">
        <is>
          <t>学院</t>
        </is>
      </c>
      <c r="D28" s="67" t="inlineStr">
        <is>
          <t>随从</t>
        </is>
      </c>
      <c r="E28" s="67" t="n">
        <v>4</v>
      </c>
      <c r="F28" s="67" t="n">
        <v>229</v>
      </c>
      <c r="G28" s="67" t="n">
        <v>131</v>
      </c>
      <c r="H28" s="65" t="n">
        <v>0.5720524017467249</v>
      </c>
      <c r="I28" s="69" t="n">
        <v>0.03455240174672491</v>
      </c>
      <c r="J28" s="68" t="inlineStr"/>
    </row>
    <row r="29">
      <c r="A29" s="67" t="inlineStr">
        <is>
          <t>emergency</t>
        </is>
      </c>
      <c r="B29" s="68" t="inlineStr">
        <is>
          <t>应急响应</t>
        </is>
      </c>
      <c r="C29" s="67" t="inlineStr">
        <is>
          <t>普卫岛</t>
        </is>
      </c>
      <c r="D29" s="67" t="inlineStr">
        <is>
          <t>战术</t>
        </is>
      </c>
      <c r="E29" s="67" t="n">
        <v>2</v>
      </c>
      <c r="F29" s="67" t="n">
        <v>226</v>
      </c>
      <c r="G29" s="67" t="n">
        <v>105</v>
      </c>
      <c r="H29" s="65" t="n">
        <v>0.4646017699115044</v>
      </c>
      <c r="I29" s="69" t="n">
        <v>-0.06664823008849557</v>
      </c>
      <c r="J29" s="68" t="inlineStr"/>
    </row>
    <row r="30">
      <c r="A30" s="67" t="inlineStr">
        <is>
          <t>miyuki</t>
        </is>
      </c>
      <c r="B30" s="68" t="inlineStr">
        <is>
          <t>深雪</t>
        </is>
      </c>
      <c r="C30" s="67" t="inlineStr">
        <is>
          <t>普卫岛</t>
        </is>
      </c>
      <c r="D30" s="67" t="inlineStr">
        <is>
          <t>随从</t>
        </is>
      </c>
      <c r="E30" s="67" t="n">
        <v>6</v>
      </c>
      <c r="F30" s="67" t="n">
        <v>224</v>
      </c>
      <c r="G30" s="67" t="n">
        <v>129</v>
      </c>
      <c r="H30" s="65" t="n">
        <v>0.5758928571428571</v>
      </c>
      <c r="I30" s="69" t="n">
        <v>0.0446428571428571</v>
      </c>
      <c r="J30" s="68" t="inlineStr"/>
    </row>
    <row r="31">
      <c r="A31" s="67" t="inlineStr">
        <is>
          <t>gh_field_medic</t>
        </is>
      </c>
      <c r="B31" s="68" t="inlineStr">
        <is>
          <t>灰港医师</t>
        </is>
      </c>
      <c r="C31" s="67" t="inlineStr">
        <is>
          <t>灰港同盟</t>
        </is>
      </c>
      <c r="D31" s="67" t="inlineStr">
        <is>
          <t>随从</t>
        </is>
      </c>
      <c r="E31" s="67" t="n">
        <v>5</v>
      </c>
      <c r="F31" s="67" t="n">
        <v>222</v>
      </c>
      <c r="G31" s="67" t="n">
        <v>84</v>
      </c>
      <c r="H31" s="65" t="n">
        <v>0.3783783783783784</v>
      </c>
      <c r="I31" s="69" t="n">
        <v>0.02837837837837842</v>
      </c>
      <c r="J31" s="68" t="inlineStr"/>
    </row>
    <row r="32">
      <c r="A32" s="67" t="inlineStr">
        <is>
          <t>verious</t>
        </is>
      </c>
      <c r="B32" s="68" t="inlineStr">
        <is>
          <t>维里欧斯</t>
        </is>
      </c>
      <c r="C32" s="67" t="inlineStr">
        <is>
          <t>普卫岛</t>
        </is>
      </c>
      <c r="D32" s="67" t="inlineStr">
        <is>
          <t>随从</t>
        </is>
      </c>
      <c r="E32" s="67" t="n">
        <v>4</v>
      </c>
      <c r="F32" s="67" t="n">
        <v>222</v>
      </c>
      <c r="G32" s="67" t="n">
        <v>127</v>
      </c>
      <c r="H32" s="65" t="n">
        <v>0.5720720720720721</v>
      </c>
      <c r="I32" s="69" t="n">
        <v>0.04082207207207211</v>
      </c>
      <c r="J32" s="68" t="inlineStr"/>
    </row>
    <row r="33">
      <c r="A33" s="67" t="inlineStr">
        <is>
          <t>klaus</t>
        </is>
      </c>
      <c r="B33" s="68" t="inlineStr">
        <is>
          <t>克劳斯·莱茵哈特</t>
        </is>
      </c>
      <c r="C33" s="67" t="inlineStr">
        <is>
          <t>帝国</t>
        </is>
      </c>
      <c r="D33" s="67" t="inlineStr">
        <is>
          <t>随从</t>
        </is>
      </c>
      <c r="E33" s="67" t="n">
        <v>3</v>
      </c>
      <c r="F33" s="67" t="n">
        <v>221</v>
      </c>
      <c r="G33" s="67" t="n">
        <v>157</v>
      </c>
      <c r="H33" s="65" t="n">
        <v>0.7104072398190046</v>
      </c>
      <c r="I33" s="69" t="n">
        <v>0.09790723981900451</v>
      </c>
      <c r="J33" s="68" t="inlineStr"/>
    </row>
    <row r="34">
      <c r="A34" s="67" t="inlineStr">
        <is>
          <t>frost_professor</t>
        </is>
      </c>
      <c r="B34" s="68" t="inlineStr">
        <is>
          <t>霜系教授</t>
        </is>
      </c>
      <c r="C34" s="67" t="inlineStr">
        <is>
          <t>学院</t>
        </is>
      </c>
      <c r="D34" s="67" t="inlineStr">
        <is>
          <t>随从</t>
        </is>
      </c>
      <c r="E34" s="67" t="n">
        <v>5</v>
      </c>
      <c r="F34" s="67" t="n">
        <v>216</v>
      </c>
      <c r="G34" s="67" t="n">
        <v>126</v>
      </c>
      <c r="H34" s="65" t="n">
        <v>0.5833333333333334</v>
      </c>
      <c r="I34" s="69" t="n">
        <v>0.04583333333333339</v>
      </c>
      <c r="J34" s="68" t="inlineStr"/>
    </row>
    <row r="35">
      <c r="A35" s="67" t="inlineStr">
        <is>
          <t>samuel</t>
        </is>
      </c>
      <c r="B35" s="68" t="inlineStr">
        <is>
          <t>塞缪尔·奎因</t>
        </is>
      </c>
      <c r="C35" s="67" t="inlineStr">
        <is>
          <t>学院</t>
        </is>
      </c>
      <c r="D35" s="67" t="inlineStr">
        <is>
          <t>随从</t>
        </is>
      </c>
      <c r="E35" s="67" t="n">
        <v>2</v>
      </c>
      <c r="F35" s="67" t="n">
        <v>215</v>
      </c>
      <c r="G35" s="67" t="n">
        <v>115</v>
      </c>
      <c r="H35" s="65" t="n">
        <v>0.5348837209302325</v>
      </c>
      <c r="I35" s="69" t="n">
        <v>-0.002616279069767469</v>
      </c>
      <c r="J35" s="68" t="inlineStr"/>
    </row>
    <row r="36">
      <c r="A36" s="67" t="inlineStr">
        <is>
          <t>wind_cannon</t>
        </is>
      </c>
      <c r="B36" s="68" t="inlineStr">
        <is>
          <t>风压炮</t>
        </is>
      </c>
      <c r="C36" s="67" t="inlineStr">
        <is>
          <t>帝国</t>
        </is>
      </c>
      <c r="D36" s="67" t="inlineStr">
        <is>
          <t>随从</t>
        </is>
      </c>
      <c r="E36" s="67" t="n">
        <v>5</v>
      </c>
      <c r="F36" s="67" t="n">
        <v>214</v>
      </c>
      <c r="G36" s="67" t="n">
        <v>135</v>
      </c>
      <c r="H36" s="65" t="n">
        <v>0.6308411214953271</v>
      </c>
      <c r="I36" s="69" t="n">
        <v>0.01834112149532707</v>
      </c>
      <c r="J36" s="68" t="inlineStr"/>
    </row>
    <row r="37">
      <c r="A37" s="67" t="inlineStr">
        <is>
          <t>cassian</t>
        </is>
      </c>
      <c r="B37" s="68" t="inlineStr">
        <is>
          <t>卡西安·维尔</t>
        </is>
      </c>
      <c r="C37" s="67" t="inlineStr">
        <is>
          <t>学院</t>
        </is>
      </c>
      <c r="D37" s="67" t="inlineStr">
        <is>
          <t>随从</t>
        </is>
      </c>
      <c r="E37" s="67" t="n">
        <v>5</v>
      </c>
      <c r="F37" s="67" t="n">
        <v>213</v>
      </c>
      <c r="G37" s="67" t="n">
        <v>129</v>
      </c>
      <c r="H37" s="65" t="n">
        <v>0.6056338028169014</v>
      </c>
      <c r="I37" s="69" t="n">
        <v>0.0681338028169014</v>
      </c>
      <c r="J37" s="68" t="inlineStr"/>
    </row>
    <row r="38">
      <c r="A38" s="67" t="inlineStr">
        <is>
          <t>gh_execution_contract</t>
        </is>
      </c>
      <c r="B38" s="68" t="inlineStr">
        <is>
          <t>处刑契约</t>
        </is>
      </c>
      <c r="C38" s="67" t="inlineStr">
        <is>
          <t>灰港同盟</t>
        </is>
      </c>
      <c r="D38" s="67" t="inlineStr">
        <is>
          <t>战术</t>
        </is>
      </c>
      <c r="E38" s="67" t="n">
        <v>3</v>
      </c>
      <c r="F38" s="67" t="n">
        <v>212</v>
      </c>
      <c r="G38" s="67" t="n">
        <v>75</v>
      </c>
      <c r="H38" s="65" t="n">
        <v>0.3537735849056604</v>
      </c>
      <c r="I38" s="69" t="n">
        <v>0.003773584905660377</v>
      </c>
      <c r="J38" s="68" t="inlineStr"/>
    </row>
    <row r="39">
      <c r="A39" s="67" t="inlineStr">
        <is>
          <t>karl_desmond</t>
        </is>
      </c>
      <c r="B39" s="68" t="inlineStr">
        <is>
          <t>卡尔·德斯蒙德</t>
        </is>
      </c>
      <c r="C39" s="67" t="inlineStr">
        <is>
          <t>学院</t>
        </is>
      </c>
      <c r="D39" s="67" t="inlineStr">
        <is>
          <t>随从</t>
        </is>
      </c>
      <c r="E39" s="67" t="n">
        <v>4</v>
      </c>
      <c r="F39" s="67" t="n">
        <v>211</v>
      </c>
      <c r="G39" s="67" t="n">
        <v>116</v>
      </c>
      <c r="H39" s="65" t="n">
        <v>0.5497630331753555</v>
      </c>
      <c r="I39" s="69" t="n">
        <v>0.01226303317535549</v>
      </c>
      <c r="J39" s="68" t="inlineStr"/>
    </row>
    <row r="40">
      <c r="A40" s="67" t="inlineStr">
        <is>
          <t>justus</t>
        </is>
      </c>
      <c r="B40" s="68" t="inlineStr">
        <is>
          <t>尤斯图斯·维尔纳</t>
        </is>
      </c>
      <c r="C40" s="67" t="inlineStr">
        <is>
          <t>学院</t>
        </is>
      </c>
      <c r="D40" s="67" t="inlineStr">
        <is>
          <t>随从</t>
        </is>
      </c>
      <c r="E40" s="67" t="n">
        <v>3</v>
      </c>
      <c r="F40" s="67" t="n">
        <v>211</v>
      </c>
      <c r="G40" s="67" t="n">
        <v>128</v>
      </c>
      <c r="H40" s="65" t="n">
        <v>0.6066350710900474</v>
      </c>
      <c r="I40" s="69" t="n">
        <v>0.06913507109004746</v>
      </c>
      <c r="J40" s="68" t="inlineStr"/>
    </row>
    <row r="41">
      <c r="A41" s="67" t="inlineStr">
        <is>
          <t>devourer</t>
        </is>
      </c>
      <c r="B41" s="68" t="inlineStr">
        <is>
          <t>噬潮者</t>
        </is>
      </c>
      <c r="C41" s="67" t="inlineStr">
        <is>
          <t>西昭</t>
        </is>
      </c>
      <c r="D41" s="67" t="inlineStr">
        <is>
          <t>随从</t>
        </is>
      </c>
      <c r="E41" s="67" t="n">
        <v>4</v>
      </c>
      <c r="F41" s="67" t="n">
        <v>210</v>
      </c>
      <c r="G41" s="67" t="n">
        <v>88</v>
      </c>
      <c r="H41" s="65" t="n">
        <v>0.4190476190476191</v>
      </c>
      <c r="I41" s="69" t="n">
        <v>-0.04553571428571429</v>
      </c>
      <c r="J41" s="68" t="inlineStr"/>
    </row>
    <row r="42">
      <c r="A42" s="67" t="inlineStr">
        <is>
          <t>nina</t>
        </is>
      </c>
      <c r="B42" s="68" t="inlineStr">
        <is>
          <t>妮娜·索雷尔</t>
        </is>
      </c>
      <c r="C42" s="67" t="inlineStr">
        <is>
          <t>学院</t>
        </is>
      </c>
      <c r="D42" s="67" t="inlineStr">
        <is>
          <t>随从</t>
        </is>
      </c>
      <c r="E42" s="67" t="n">
        <v>3</v>
      </c>
      <c r="F42" s="67" t="n">
        <v>210</v>
      </c>
      <c r="G42" s="67" t="n">
        <v>112</v>
      </c>
      <c r="H42" s="65" t="n">
        <v>0.5333333333333333</v>
      </c>
      <c r="I42" s="69" t="n">
        <v>-0.004166666666666652</v>
      </c>
      <c r="J42" s="68" t="inlineStr"/>
    </row>
    <row r="43">
      <c r="A43" s="67" t="inlineStr">
        <is>
          <t>zone_keeper</t>
        </is>
      </c>
      <c r="B43" s="68" t="inlineStr">
        <is>
          <t>同阵守望者</t>
        </is>
      </c>
      <c r="C43" s="67" t="inlineStr">
        <is>
          <t>普卫岛</t>
        </is>
      </c>
      <c r="D43" s="67" t="inlineStr">
        <is>
          <t>随从</t>
        </is>
      </c>
      <c r="E43" s="67" t="n">
        <v>3</v>
      </c>
      <c r="F43" s="67" t="n">
        <v>208</v>
      </c>
      <c r="G43" s="67" t="n">
        <v>130</v>
      </c>
      <c r="H43" s="65" t="n">
        <v>0.625</v>
      </c>
      <c r="I43" s="69" t="n">
        <v>0.09375</v>
      </c>
      <c r="J43" s="68" t="inlineStr"/>
    </row>
    <row r="44">
      <c r="A44" s="67" t="inlineStr">
        <is>
          <t>powder_marshal</t>
        </is>
      </c>
      <c r="B44" s="68" t="inlineStr">
        <is>
          <t>火药元帅</t>
        </is>
      </c>
      <c r="C44" s="67" t="inlineStr">
        <is>
          <t>帝国</t>
        </is>
      </c>
      <c r="D44" s="67" t="inlineStr">
        <is>
          <t>随从</t>
        </is>
      </c>
      <c r="E44" s="67" t="n">
        <v>5</v>
      </c>
      <c r="F44" s="67" t="n">
        <v>208</v>
      </c>
      <c r="G44" s="67" t="n">
        <v>134</v>
      </c>
      <c r="H44" s="65" t="n">
        <v>0.6442307692307693</v>
      </c>
      <c r="I44" s="69" t="n">
        <v>0.03173076923076923</v>
      </c>
      <c r="J44" s="68" t="inlineStr"/>
    </row>
    <row r="45">
      <c r="A45" s="67" t="inlineStr">
        <is>
          <t>gh_company</t>
        </is>
      </c>
      <c r="B45" s="68" t="inlineStr">
        <is>
          <t>佣兵团长</t>
        </is>
      </c>
      <c r="C45" s="67" t="inlineStr">
        <is>
          <t>灰港同盟</t>
        </is>
      </c>
      <c r="D45" s="67" t="inlineStr">
        <is>
          <t>随从</t>
        </is>
      </c>
      <c r="E45" s="67" t="n">
        <v>6</v>
      </c>
      <c r="F45" s="67" t="n">
        <v>207</v>
      </c>
      <c r="G45" s="67" t="n">
        <v>93</v>
      </c>
      <c r="H45" s="65" t="n">
        <v>0.4492753623188406</v>
      </c>
      <c r="I45" s="69" t="n">
        <v>0.0992753623188406</v>
      </c>
      <c r="J45" s="68" t="inlineStr"/>
    </row>
    <row r="46">
      <c r="A46" s="67" t="inlineStr">
        <is>
          <t>gh_quick_strike</t>
        </is>
      </c>
      <c r="B46" s="68" t="inlineStr">
        <is>
          <t>先手突袭</t>
        </is>
      </c>
      <c r="C46" s="67" t="inlineStr">
        <is>
          <t>灰港同盟</t>
        </is>
      </c>
      <c r="D46" s="67" t="inlineStr">
        <is>
          <t>战术</t>
        </is>
      </c>
      <c r="E46" s="67" t="n">
        <v>1</v>
      </c>
      <c r="F46" s="67" t="n">
        <v>207</v>
      </c>
      <c r="G46" s="67" t="n">
        <v>73</v>
      </c>
      <c r="H46" s="65" t="n">
        <v>0.3526570048309179</v>
      </c>
      <c r="I46" s="69" t="n">
        <v>0.002657004830917908</v>
      </c>
      <c r="J46" s="68" t="inlineStr"/>
    </row>
    <row r="47">
      <c r="A47" s="67" t="inlineStr">
        <is>
          <t>gh_silence_expert</t>
        </is>
      </c>
      <c r="B47" s="68" t="inlineStr">
        <is>
          <t>封口专家</t>
        </is>
      </c>
      <c r="C47" s="67" t="inlineStr">
        <is>
          <t>灰港同盟</t>
        </is>
      </c>
      <c r="D47" s="67" t="inlineStr">
        <is>
          <t>随从</t>
        </is>
      </c>
      <c r="E47" s="67" t="n">
        <v>4</v>
      </c>
      <c r="F47" s="67" t="n">
        <v>207</v>
      </c>
      <c r="G47" s="67" t="n">
        <v>69</v>
      </c>
      <c r="H47" s="65" t="n">
        <v>0.3333333333333333</v>
      </c>
      <c r="I47" s="69" t="n">
        <v>-0.01666666666666666</v>
      </c>
      <c r="J47" s="68" t="inlineStr"/>
    </row>
    <row r="48">
      <c r="A48" s="67" t="inlineStr">
        <is>
          <t>gh_venom_behemoth</t>
        </is>
      </c>
      <c r="B48" s="68" t="inlineStr">
        <is>
          <t>毒潮巨兽</t>
        </is>
      </c>
      <c r="C48" s="67" t="inlineStr">
        <is>
          <t>灰港同盟</t>
        </is>
      </c>
      <c r="D48" s="67" t="inlineStr">
        <is>
          <t>随从</t>
        </is>
      </c>
      <c r="E48" s="67" t="n">
        <v>7</v>
      </c>
      <c r="F48" s="67" t="n">
        <v>207</v>
      </c>
      <c r="G48" s="67" t="n">
        <v>88</v>
      </c>
      <c r="H48" s="65" t="n">
        <v>0.4251207729468599</v>
      </c>
      <c r="I48" s="69" t="n">
        <v>0.07512077294685993</v>
      </c>
      <c r="J48" s="68" t="inlineStr"/>
    </row>
    <row r="49">
      <c r="A49" s="67" t="inlineStr">
        <is>
          <t>gunther</t>
        </is>
      </c>
      <c r="B49" s="68" t="inlineStr">
        <is>
          <t>京特·冯·艾森瓦尔德</t>
        </is>
      </c>
      <c r="C49" s="67" t="inlineStr">
        <is>
          <t>帝国</t>
        </is>
      </c>
      <c r="D49" s="67" t="inlineStr">
        <is>
          <t>随从</t>
        </is>
      </c>
      <c r="E49" s="67" t="n">
        <v>4</v>
      </c>
      <c r="F49" s="67" t="n">
        <v>206</v>
      </c>
      <c r="G49" s="67" t="n">
        <v>144</v>
      </c>
      <c r="H49" s="65" t="n">
        <v>0.6990291262135923</v>
      </c>
      <c r="I49" s="69" t="n">
        <v>0.08652912621359221</v>
      </c>
      <c r="J49" s="68" t="inlineStr"/>
    </row>
    <row r="50">
      <c r="A50" s="67" t="inlineStr">
        <is>
          <t>karl_schwarz</t>
        </is>
      </c>
      <c r="B50" s="68" t="inlineStr">
        <is>
          <t>卡尔·冯·施瓦茨</t>
        </is>
      </c>
      <c r="C50" s="67" t="inlineStr">
        <is>
          <t>帝国</t>
        </is>
      </c>
      <c r="D50" s="67" t="inlineStr">
        <is>
          <t>随从</t>
        </is>
      </c>
      <c r="E50" s="67" t="n">
        <v>3</v>
      </c>
      <c r="F50" s="67" t="n">
        <v>205</v>
      </c>
      <c r="G50" s="67" t="n">
        <v>125</v>
      </c>
      <c r="H50" s="65" t="n">
        <v>0.6097560975609756</v>
      </c>
      <c r="I50" s="69" t="n">
        <v>-0.002743902439024448</v>
      </c>
      <c r="J50" s="68" t="inlineStr"/>
    </row>
    <row r="51">
      <c r="A51" s="67" t="inlineStr">
        <is>
          <t>gh_silence_master</t>
        </is>
      </c>
      <c r="B51" s="68" t="inlineStr">
        <is>
          <t>封口大师</t>
        </is>
      </c>
      <c r="C51" s="67" t="inlineStr">
        <is>
          <t>灰港同盟</t>
        </is>
      </c>
      <c r="D51" s="67" t="inlineStr">
        <is>
          <t>随从</t>
        </is>
      </c>
      <c r="E51" s="67" t="n">
        <v>5</v>
      </c>
      <c r="F51" s="67" t="n">
        <v>205</v>
      </c>
      <c r="G51" s="67" t="n">
        <v>80</v>
      </c>
      <c r="H51" s="65" t="n">
        <v>0.3902439024390244</v>
      </c>
      <c r="I51" s="69" t="n">
        <v>0.04024390243902443</v>
      </c>
      <c r="J51" s="68" t="inlineStr"/>
    </row>
    <row r="52">
      <c r="A52" s="67" t="inlineStr">
        <is>
          <t>tactical_review</t>
        </is>
      </c>
      <c r="B52" s="68" t="inlineStr">
        <is>
          <t>战术复盘</t>
        </is>
      </c>
      <c r="C52" s="67" t="inlineStr">
        <is>
          <t>学院</t>
        </is>
      </c>
      <c r="D52" s="67" t="inlineStr">
        <is>
          <t>战术</t>
        </is>
      </c>
      <c r="E52" s="67" t="n">
        <v>3</v>
      </c>
      <c r="F52" s="67" t="n">
        <v>205</v>
      </c>
      <c r="G52" s="67" t="n">
        <v>122</v>
      </c>
      <c r="H52" s="65" t="n">
        <v>0.5951219512195122</v>
      </c>
      <c r="I52" s="69" t="n">
        <v>0.05762195121951219</v>
      </c>
      <c r="J52" s="68" t="inlineStr"/>
    </row>
    <row r="53">
      <c r="A53" s="67" t="inlineStr">
        <is>
          <t>gh_silencer</t>
        </is>
      </c>
      <c r="B53" s="68" t="inlineStr">
        <is>
          <t>封口人</t>
        </is>
      </c>
      <c r="C53" s="67" t="inlineStr">
        <is>
          <t>灰港同盟</t>
        </is>
      </c>
      <c r="D53" s="67" t="inlineStr">
        <is>
          <t>随从</t>
        </is>
      </c>
      <c r="E53" s="67" t="n">
        <v>3</v>
      </c>
      <c r="F53" s="67" t="n">
        <v>203</v>
      </c>
      <c r="G53" s="67" t="n">
        <v>74</v>
      </c>
      <c r="H53" s="65" t="n">
        <v>0.3645320197044335</v>
      </c>
      <c r="I53" s="69" t="n">
        <v>0.01453201970443352</v>
      </c>
      <c r="J53" s="68" t="inlineStr"/>
    </row>
    <row r="54">
      <c r="A54" s="67" t="inlineStr">
        <is>
          <t>timon</t>
        </is>
      </c>
      <c r="B54" s="68" t="inlineStr">
        <is>
          <t>提蒙</t>
        </is>
      </c>
      <c r="C54" s="67" t="inlineStr">
        <is>
          <t>普卫岛</t>
        </is>
      </c>
      <c r="D54" s="67" t="inlineStr">
        <is>
          <t>随从</t>
        </is>
      </c>
      <c r="E54" s="67" t="n">
        <v>3</v>
      </c>
      <c r="F54" s="67" t="n">
        <v>203</v>
      </c>
      <c r="G54" s="67" t="n">
        <v>109</v>
      </c>
      <c r="H54" s="65" t="n">
        <v>0.5369458128078818</v>
      </c>
      <c r="I54" s="69" t="n">
        <v>0.005695812807881784</v>
      </c>
      <c r="J54" s="68" t="inlineStr"/>
    </row>
    <row r="55">
      <c r="A55" s="67" t="inlineStr">
        <is>
          <t>gh_shield_mercenary</t>
        </is>
      </c>
      <c r="B55" s="68" t="inlineStr">
        <is>
          <t>护幕佣兵</t>
        </is>
      </c>
      <c r="C55" s="67" t="inlineStr">
        <is>
          <t>灰港同盟</t>
        </is>
      </c>
      <c r="D55" s="67" t="inlineStr">
        <is>
          <t>随从</t>
        </is>
      </c>
      <c r="E55" s="67" t="n">
        <v>3</v>
      </c>
      <c r="F55" s="67" t="n">
        <v>200</v>
      </c>
      <c r="G55" s="67" t="n">
        <v>80</v>
      </c>
      <c r="H55" s="65" t="n">
        <v>0.4</v>
      </c>
      <c r="I55" s="69" t="n">
        <v>0.05000000000000004</v>
      </c>
      <c r="J55" s="68" t="inlineStr"/>
    </row>
    <row r="56">
      <c r="A56" s="67" t="inlineStr">
        <is>
          <t>gh_captain</t>
        </is>
      </c>
      <c r="B56" s="68" t="inlineStr">
        <is>
          <t>佣兵头目</t>
        </is>
      </c>
      <c r="C56" s="67" t="inlineStr">
        <is>
          <t>灰港同盟</t>
        </is>
      </c>
      <c r="D56" s="67" t="inlineStr">
        <is>
          <t>随从</t>
        </is>
      </c>
      <c r="E56" s="67" t="n">
        <v>5</v>
      </c>
      <c r="F56" s="67" t="n">
        <v>198</v>
      </c>
      <c r="G56" s="67" t="n">
        <v>76</v>
      </c>
      <c r="H56" s="65" t="n">
        <v>0.3838383838383838</v>
      </c>
      <c r="I56" s="69" t="n">
        <v>0.03383838383838383</v>
      </c>
      <c r="J56" s="68" t="inlineStr"/>
    </row>
    <row r="57">
      <c r="A57" s="67" t="inlineStr">
        <is>
          <t>barrage</t>
        </is>
      </c>
      <c r="B57" s="68" t="inlineStr">
        <is>
          <t>炮火覆盖</t>
        </is>
      </c>
      <c r="C57" s="67" t="inlineStr">
        <is>
          <t>帝国</t>
        </is>
      </c>
      <c r="D57" s="67" t="inlineStr">
        <is>
          <t>战术</t>
        </is>
      </c>
      <c r="E57" s="67" t="n">
        <v>1</v>
      </c>
      <c r="F57" s="67" t="n">
        <v>198</v>
      </c>
      <c r="G57" s="67" t="n">
        <v>119</v>
      </c>
      <c r="H57" s="65" t="n">
        <v>0.601010101010101</v>
      </c>
      <c r="I57" s="69" t="n">
        <v>-0.01148989898989905</v>
      </c>
      <c r="J57" s="68" t="inlineStr"/>
    </row>
    <row r="58">
      <c r="A58" s="67" t="inlineStr">
        <is>
          <t>gh_assassinate_contract</t>
        </is>
      </c>
      <c r="B58" s="68" t="inlineStr">
        <is>
          <t>刺杀契约</t>
        </is>
      </c>
      <c r="C58" s="67" t="inlineStr">
        <is>
          <t>灰港同盟</t>
        </is>
      </c>
      <c r="D58" s="67" t="inlineStr">
        <is>
          <t>战术</t>
        </is>
      </c>
      <c r="E58" s="67" t="n">
        <v>3</v>
      </c>
      <c r="F58" s="67" t="n">
        <v>197</v>
      </c>
      <c r="G58" s="67" t="n">
        <v>74</v>
      </c>
      <c r="H58" s="65" t="n">
        <v>0.3756345177664975</v>
      </c>
      <c r="I58" s="69" t="n">
        <v>0.0256345177664975</v>
      </c>
      <c r="J58" s="68" t="inlineStr"/>
    </row>
    <row r="59">
      <c r="A59" s="67" t="inlineStr">
        <is>
          <t>aidric</t>
        </is>
      </c>
      <c r="B59" s="68" t="inlineStr">
        <is>
          <t>艾德里克</t>
        </is>
      </c>
      <c r="C59" s="67" t="inlineStr">
        <is>
          <t>普卫岛</t>
        </is>
      </c>
      <c r="D59" s="67" t="inlineStr">
        <is>
          <t>随从</t>
        </is>
      </c>
      <c r="E59" s="67" t="n">
        <v>4</v>
      </c>
      <c r="F59" s="67" t="n">
        <v>197</v>
      </c>
      <c r="G59" s="67" t="n">
        <v>114</v>
      </c>
      <c r="H59" s="65" t="n">
        <v>0.5786802030456852</v>
      </c>
      <c r="I59" s="69" t="n">
        <v>0.04743020304568524</v>
      </c>
      <c r="J59" s="68" t="inlineStr"/>
    </row>
    <row r="60">
      <c r="A60" s="67" t="inlineStr">
        <is>
          <t>lize</t>
        </is>
      </c>
      <c r="B60" s="68" t="inlineStr">
        <is>
          <t>莉泽</t>
        </is>
      </c>
      <c r="C60" s="67" t="inlineStr">
        <is>
          <t>西昭</t>
        </is>
      </c>
      <c r="D60" s="67" t="inlineStr">
        <is>
          <t>随从</t>
        </is>
      </c>
      <c r="E60" s="67" t="n">
        <v>2</v>
      </c>
      <c r="F60" s="67" t="n">
        <v>197</v>
      </c>
      <c r="G60" s="67" t="n">
        <v>95</v>
      </c>
      <c r="H60" s="65" t="n">
        <v>0.4822335025380711</v>
      </c>
      <c r="I60" s="69" t="n">
        <v>0.01765016920473772</v>
      </c>
      <c r="J60" s="68" t="inlineStr"/>
    </row>
    <row r="61">
      <c r="A61" s="67" t="inlineStr">
        <is>
          <t>formation_script</t>
        </is>
      </c>
      <c r="B61" s="68" t="inlineStr">
        <is>
          <t>演算阵线</t>
        </is>
      </c>
      <c r="C61" s="67" t="inlineStr">
        <is>
          <t>学院</t>
        </is>
      </c>
      <c r="D61" s="67" t="inlineStr">
        <is>
          <t>阵型</t>
        </is>
      </c>
      <c r="E61" s="67" t="n">
        <v>4</v>
      </c>
      <c r="F61" s="67" t="n">
        <v>194</v>
      </c>
      <c r="G61" s="67" t="n">
        <v>73</v>
      </c>
      <c r="H61" s="65" t="n">
        <v>0.3762886597938144</v>
      </c>
      <c r="I61" s="69" t="n">
        <v>-0.1612113402061855</v>
      </c>
      <c r="J61" s="68" t="inlineStr"/>
    </row>
    <row r="62">
      <c r="A62" s="67" t="inlineStr">
        <is>
          <t>gh_bodyguard_contract</t>
        </is>
      </c>
      <c r="B62" s="68" t="inlineStr">
        <is>
          <t>替身契约</t>
        </is>
      </c>
      <c r="C62" s="67" t="inlineStr">
        <is>
          <t>灰港同盟</t>
        </is>
      </c>
      <c r="D62" s="67" t="inlineStr">
        <is>
          <t>战术</t>
        </is>
      </c>
      <c r="E62" s="67" t="n">
        <v>1</v>
      </c>
      <c r="F62" s="67" t="n">
        <v>192</v>
      </c>
      <c r="G62" s="67" t="n">
        <v>72</v>
      </c>
      <c r="H62" s="65" t="n">
        <v>0.375</v>
      </c>
      <c r="I62" s="69" t="n">
        <v>0.02500000000000002</v>
      </c>
      <c r="J62" s="68" t="inlineStr"/>
    </row>
    <row r="63">
      <c r="A63" s="67" t="inlineStr">
        <is>
          <t>gh_legend_assassin</t>
        </is>
      </c>
      <c r="B63" s="68" t="inlineStr">
        <is>
          <t>传奇刺客</t>
        </is>
      </c>
      <c r="C63" s="67" t="inlineStr">
        <is>
          <t>灰港同盟</t>
        </is>
      </c>
      <c r="D63" s="67" t="inlineStr">
        <is>
          <t>随从</t>
        </is>
      </c>
      <c r="E63" s="67" t="n">
        <v>4</v>
      </c>
      <c r="F63" s="67" t="n">
        <v>190</v>
      </c>
      <c r="G63" s="67" t="n">
        <v>80</v>
      </c>
      <c r="H63" s="65" t="n">
        <v>0.4210526315789473</v>
      </c>
      <c r="I63" s="69" t="n">
        <v>0.07105263157894737</v>
      </c>
      <c r="J63" s="68" t="inlineStr"/>
    </row>
    <row r="64">
      <c r="A64" s="67" t="inlineStr">
        <is>
          <t>gh_bounty_notice</t>
        </is>
      </c>
      <c r="B64" s="68" t="inlineStr">
        <is>
          <t>悬赏告示</t>
        </is>
      </c>
      <c r="C64" s="67" t="inlineStr">
        <is>
          <t>灰港同盟</t>
        </is>
      </c>
      <c r="D64" s="67" t="inlineStr">
        <is>
          <t>战术</t>
        </is>
      </c>
      <c r="E64" s="67" t="n">
        <v>1</v>
      </c>
      <c r="F64" s="67" t="n">
        <v>190</v>
      </c>
      <c r="G64" s="67" t="n">
        <v>60</v>
      </c>
      <c r="H64" s="65" t="n">
        <v>0.3157894736842105</v>
      </c>
      <c r="I64" s="69" t="n">
        <v>-0.03421052631578947</v>
      </c>
      <c r="J64" s="68" t="inlineStr"/>
    </row>
    <row r="65">
      <c r="A65" s="67" t="inlineStr">
        <is>
          <t>gh_scorpion</t>
        </is>
      </c>
      <c r="B65" s="68" t="inlineStr">
        <is>
          <t>巨蝎</t>
        </is>
      </c>
      <c r="C65" s="67" t="inlineStr">
        <is>
          <t>灰港同盟</t>
        </is>
      </c>
      <c r="D65" s="67" t="inlineStr">
        <is>
          <t>随从</t>
        </is>
      </c>
      <c r="E65" s="67" t="n">
        <v>5</v>
      </c>
      <c r="F65" s="67" t="n">
        <v>189</v>
      </c>
      <c r="G65" s="67" t="n">
        <v>73</v>
      </c>
      <c r="H65" s="65" t="n">
        <v>0.3862433862433862</v>
      </c>
      <c r="I65" s="69" t="n">
        <v>0.03624338624338624</v>
      </c>
      <c r="J65" s="68" t="inlineStr"/>
    </row>
    <row r="66">
      <c r="A66" s="67" t="inlineStr">
        <is>
          <t>mana_surge</t>
        </is>
      </c>
      <c r="B66" s="68" t="inlineStr">
        <is>
          <t>奥能涌动</t>
        </is>
      </c>
      <c r="C66" s="67" t="inlineStr">
        <is>
          <t>学院</t>
        </is>
      </c>
      <c r="D66" s="67" t="inlineStr">
        <is>
          <t>战术</t>
        </is>
      </c>
      <c r="E66" s="67" t="n">
        <v>1</v>
      </c>
      <c r="F66" s="67" t="n">
        <v>188</v>
      </c>
      <c r="G66" s="67" t="n">
        <v>98</v>
      </c>
      <c r="H66" s="65" t="n">
        <v>0.5212765957446809</v>
      </c>
      <c r="I66" s="69" t="n">
        <v>-0.0162234042553191</v>
      </c>
      <c r="J66" s="68" t="inlineStr"/>
    </row>
    <row r="67">
      <c r="A67" s="67" t="inlineStr">
        <is>
          <t>walter</t>
        </is>
      </c>
      <c r="B67" s="68" t="inlineStr">
        <is>
          <t>瓦尔特·克鲁格</t>
        </is>
      </c>
      <c r="C67" s="67" t="inlineStr">
        <is>
          <t>帝国</t>
        </is>
      </c>
      <c r="D67" s="67" t="inlineStr">
        <is>
          <t>随从</t>
        </is>
      </c>
      <c r="E67" s="67" t="n">
        <v>5</v>
      </c>
      <c r="F67" s="67" t="n">
        <v>187</v>
      </c>
      <c r="G67" s="67" t="n">
        <v>126</v>
      </c>
      <c r="H67" s="65" t="n">
        <v>0.6737967914438503</v>
      </c>
      <c r="I67" s="69" t="n">
        <v>0.06129679144385025</v>
      </c>
      <c r="J67" s="68" t="inlineStr"/>
    </row>
    <row r="68">
      <c r="A68" s="67" t="inlineStr">
        <is>
          <t>gh_bounty_board</t>
        </is>
      </c>
      <c r="B68" s="68" t="inlineStr">
        <is>
          <t>悬赏榜</t>
        </is>
      </c>
      <c r="C68" s="67" t="inlineStr">
        <is>
          <t>灰港同盟</t>
        </is>
      </c>
      <c r="D68" s="67" t="inlineStr">
        <is>
          <t>遗物</t>
        </is>
      </c>
      <c r="E68" s="67" t="n">
        <v>3</v>
      </c>
      <c r="F68" s="67" t="n">
        <v>186</v>
      </c>
      <c r="G68" s="67" t="n">
        <v>73</v>
      </c>
      <c r="H68" s="65" t="n">
        <v>0.3924731182795699</v>
      </c>
      <c r="I68" s="69" t="n">
        <v>0.0424731182795699</v>
      </c>
      <c r="J68" s="68" t="inlineStr"/>
    </row>
    <row r="69">
      <c r="A69" s="67" t="inlineStr">
        <is>
          <t>orlicas</t>
        </is>
      </c>
      <c r="B69" s="68" t="inlineStr">
        <is>
          <t>欧莉卡斯</t>
        </is>
      </c>
      <c r="C69" s="67" t="inlineStr">
        <is>
          <t>普卫岛</t>
        </is>
      </c>
      <c r="D69" s="67" t="inlineStr">
        <is>
          <t>随从</t>
        </is>
      </c>
      <c r="E69" s="67" t="n">
        <v>3</v>
      </c>
      <c r="F69" s="67" t="n">
        <v>186</v>
      </c>
      <c r="G69" s="67" t="n">
        <v>102</v>
      </c>
      <c r="H69" s="65" t="n">
        <v>0.5483870967741935</v>
      </c>
      <c r="I69" s="69" t="n">
        <v>0.01713709677419351</v>
      </c>
      <c r="J69" s="68" t="inlineStr"/>
    </row>
    <row r="70">
      <c r="A70" s="67" t="inlineStr">
        <is>
          <t>elsa</t>
        </is>
      </c>
      <c r="B70" s="68" t="inlineStr">
        <is>
          <t>艾尔莎·汉瑟尔</t>
        </is>
      </c>
      <c r="C70" s="67" t="inlineStr">
        <is>
          <t>帝国</t>
        </is>
      </c>
      <c r="D70" s="67" t="inlineStr">
        <is>
          <t>随从</t>
        </is>
      </c>
      <c r="E70" s="67" t="n">
        <v>3</v>
      </c>
      <c r="F70" s="67" t="n">
        <v>186</v>
      </c>
      <c r="G70" s="67" t="n">
        <v>110</v>
      </c>
      <c r="H70" s="65" t="n">
        <v>0.5913978494623656</v>
      </c>
      <c r="I70" s="69" t="n">
        <v>-0.02110215053763442</v>
      </c>
      <c r="J70" s="68" t="inlineStr"/>
    </row>
    <row r="71">
      <c r="A71" s="67" t="inlineStr">
        <is>
          <t>gh_poison_thrower</t>
        </is>
      </c>
      <c r="B71" s="68" t="inlineStr">
        <is>
          <t>毒刃投手</t>
        </is>
      </c>
      <c r="C71" s="67" t="inlineStr">
        <is>
          <t>灰港同盟</t>
        </is>
      </c>
      <c r="D71" s="67" t="inlineStr">
        <is>
          <t>随从</t>
        </is>
      </c>
      <c r="E71" s="67" t="n">
        <v>2</v>
      </c>
      <c r="F71" s="67" t="n">
        <v>185</v>
      </c>
      <c r="G71" s="67" t="n">
        <v>68</v>
      </c>
      <c r="H71" s="65" t="n">
        <v>0.3675675675675676</v>
      </c>
      <c r="I71" s="69" t="n">
        <v>0.01756756756756761</v>
      </c>
      <c r="J71" s="68" t="inlineStr"/>
    </row>
    <row r="72">
      <c r="A72" s="67" t="inlineStr">
        <is>
          <t>iron_artillery</t>
        </is>
      </c>
      <c r="B72" s="68" t="inlineStr">
        <is>
          <t>铁流炮台</t>
        </is>
      </c>
      <c r="C72" s="67" t="inlineStr">
        <is>
          <t>帝国</t>
        </is>
      </c>
      <c r="D72" s="67" t="inlineStr">
        <is>
          <t>随从</t>
        </is>
      </c>
      <c r="E72" s="67" t="n">
        <v>6</v>
      </c>
      <c r="F72" s="67" t="n">
        <v>185</v>
      </c>
      <c r="G72" s="67" t="n">
        <v>107</v>
      </c>
      <c r="H72" s="65" t="n">
        <v>0.5783783783783784</v>
      </c>
      <c r="I72" s="69" t="n">
        <v>-0.03412162162162169</v>
      </c>
      <c r="J72" s="68" t="inlineStr"/>
    </row>
    <row r="73">
      <c r="A73" s="67" t="inlineStr">
        <is>
          <t>gh_cutthroat</t>
        </is>
      </c>
      <c r="B73" s="68" t="inlineStr">
        <is>
          <t>灰港小刀手</t>
        </is>
      </c>
      <c r="C73" s="67" t="inlineStr">
        <is>
          <t>灰港同盟</t>
        </is>
      </c>
      <c r="D73" s="67" t="inlineStr">
        <is>
          <t>随从</t>
        </is>
      </c>
      <c r="E73" s="67" t="n">
        <v>1</v>
      </c>
      <c r="F73" s="67" t="n">
        <v>184</v>
      </c>
      <c r="G73" s="67" t="n">
        <v>59</v>
      </c>
      <c r="H73" s="65" t="n">
        <v>0.3206521739130435</v>
      </c>
      <c r="I73" s="69" t="n">
        <v>-0.02934782608695652</v>
      </c>
      <c r="J73" s="68" t="inlineStr"/>
    </row>
    <row r="74">
      <c r="A74" s="67" t="inlineStr">
        <is>
          <t>powder_boy</t>
        </is>
      </c>
      <c r="B74" s="68" t="inlineStr">
        <is>
          <t>火药小工</t>
        </is>
      </c>
      <c r="C74" s="67" t="inlineStr">
        <is>
          <t>帝国</t>
        </is>
      </c>
      <c r="D74" s="67" t="inlineStr">
        <is>
          <t>随从</t>
        </is>
      </c>
      <c r="E74" s="67" t="n">
        <v>1</v>
      </c>
      <c r="F74" s="67" t="n">
        <v>181</v>
      </c>
      <c r="G74" s="67" t="n">
        <v>105</v>
      </c>
      <c r="H74" s="65" t="n">
        <v>0.580110497237569</v>
      </c>
      <c r="I74" s="69" t="n">
        <v>-0.03238950276243102</v>
      </c>
      <c r="J74" s="68" t="inlineStr"/>
    </row>
    <row r="75">
      <c r="A75" s="67" t="inlineStr">
        <is>
          <t>zone_barrage</t>
        </is>
      </c>
      <c r="B75" s="68" t="inlineStr">
        <is>
          <t>阵位齐射</t>
        </is>
      </c>
      <c r="C75" s="67" t="inlineStr">
        <is>
          <t>帝国</t>
        </is>
      </c>
      <c r="D75" s="67" t="inlineStr">
        <is>
          <t>战术</t>
        </is>
      </c>
      <c r="E75" s="67" t="n">
        <v>4</v>
      </c>
      <c r="F75" s="67" t="n">
        <v>181</v>
      </c>
      <c r="G75" s="67" t="n">
        <v>117</v>
      </c>
      <c r="H75" s="65" t="n">
        <v>0.6464088397790055</v>
      </c>
      <c r="I75" s="69" t="n">
        <v>0.0339088397790055</v>
      </c>
      <c r="J75" s="68" t="inlineStr"/>
    </row>
    <row r="76">
      <c r="A76" s="67" t="inlineStr">
        <is>
          <t>lanxi</t>
        </is>
      </c>
      <c r="B76" s="68" t="inlineStr">
        <is>
          <t>澜汐</t>
        </is>
      </c>
      <c r="C76" s="67" t="inlineStr">
        <is>
          <t>西昭</t>
        </is>
      </c>
      <c r="D76" s="67" t="inlineStr">
        <is>
          <t>随从</t>
        </is>
      </c>
      <c r="E76" s="67" t="n">
        <v>5</v>
      </c>
      <c r="F76" s="67" t="n">
        <v>180</v>
      </c>
      <c r="G76" s="67" t="n">
        <v>81</v>
      </c>
      <c r="H76" s="65" t="n">
        <v>0.45</v>
      </c>
      <c r="I76" s="69" t="n">
        <v>-0.01458333333333334</v>
      </c>
      <c r="J76" s="68" t="inlineStr"/>
    </row>
    <row r="77">
      <c r="A77" s="67" t="inlineStr">
        <is>
          <t>grayfeather</t>
        </is>
      </c>
      <c r="B77" s="68" t="inlineStr">
        <is>
          <t>灰羽·乌恩</t>
        </is>
      </c>
      <c r="C77" s="67" t="inlineStr">
        <is>
          <t>西昭</t>
        </is>
      </c>
      <c r="D77" s="67" t="inlineStr">
        <is>
          <t>随从</t>
        </is>
      </c>
      <c r="E77" s="67" t="n">
        <v>4</v>
      </c>
      <c r="F77" s="67" t="n">
        <v>180</v>
      </c>
      <c r="G77" s="67" t="n">
        <v>74</v>
      </c>
      <c r="H77" s="65" t="n">
        <v>0.4111111111111111</v>
      </c>
      <c r="I77" s="69" t="n">
        <v>-0.05347222222222225</v>
      </c>
      <c r="J77" s="68" t="inlineStr"/>
    </row>
    <row r="78">
      <c r="A78" s="67" t="inlineStr">
        <is>
          <t>lanzhou</t>
        </is>
      </c>
      <c r="B78" s="68" t="inlineStr">
        <is>
          <t>澜舟</t>
        </is>
      </c>
      <c r="C78" s="67" t="inlineStr">
        <is>
          <t>西昭</t>
        </is>
      </c>
      <c r="D78" s="67" t="inlineStr">
        <is>
          <t>随从</t>
        </is>
      </c>
      <c r="E78" s="67" t="n">
        <v>1</v>
      </c>
      <c r="F78" s="67" t="n">
        <v>179</v>
      </c>
      <c r="G78" s="67" t="n">
        <v>106</v>
      </c>
      <c r="H78" s="65" t="n">
        <v>0.5921787709497207</v>
      </c>
      <c r="I78" s="69" t="n">
        <v>0.1275954376163874</v>
      </c>
      <c r="J78" s="68" t="inlineStr"/>
    </row>
    <row r="79">
      <c r="A79" s="67" t="inlineStr">
        <is>
          <t>mia</t>
        </is>
      </c>
      <c r="B79" s="68" t="inlineStr">
        <is>
          <t>米娅·科尔贝</t>
        </is>
      </c>
      <c r="C79" s="67" t="inlineStr">
        <is>
          <t>帝国</t>
        </is>
      </c>
      <c r="D79" s="67" t="inlineStr">
        <is>
          <t>随从</t>
        </is>
      </c>
      <c r="E79" s="67" t="n">
        <v>2</v>
      </c>
      <c r="F79" s="67" t="n">
        <v>179</v>
      </c>
      <c r="G79" s="67" t="n">
        <v>115</v>
      </c>
      <c r="H79" s="65" t="n">
        <v>0.6424581005586593</v>
      </c>
      <c r="I79" s="69" t="n">
        <v>0.02995810055865922</v>
      </c>
      <c r="J79" s="68" t="inlineStr"/>
    </row>
    <row r="80">
      <c r="A80" s="67" t="inlineStr">
        <is>
          <t>frost_prism</t>
        </is>
      </c>
      <c r="B80" s="68" t="inlineStr">
        <is>
          <t>霜晶棱镜</t>
        </is>
      </c>
      <c r="C80" s="67" t="inlineStr">
        <is>
          <t>学院</t>
        </is>
      </c>
      <c r="D80" s="67" t="inlineStr">
        <is>
          <t>遗物</t>
        </is>
      </c>
      <c r="E80" s="67" t="n">
        <v>3</v>
      </c>
      <c r="F80" s="67" t="n">
        <v>179</v>
      </c>
      <c r="G80" s="67" t="n">
        <v>84</v>
      </c>
      <c r="H80" s="65" t="n">
        <v>0.4692737430167598</v>
      </c>
      <c r="I80" s="69" t="n">
        <v>-0.0682262569832402</v>
      </c>
      <c r="J80" s="68" t="inlineStr"/>
    </row>
    <row r="81">
      <c r="A81" s="67" t="inlineStr">
        <is>
          <t>prohibition</t>
        </is>
      </c>
      <c r="B81" s="68" t="inlineStr">
        <is>
          <t>禁制令</t>
        </is>
      </c>
      <c r="C81" s="67" t="inlineStr">
        <is>
          <t>学院</t>
        </is>
      </c>
      <c r="D81" s="67" t="inlineStr">
        <is>
          <t>战术</t>
        </is>
      </c>
      <c r="E81" s="67" t="n">
        <v>3</v>
      </c>
      <c r="F81" s="67" t="n">
        <v>178</v>
      </c>
      <c r="G81" s="67" t="n">
        <v>84</v>
      </c>
      <c r="H81" s="65" t="n">
        <v>0.4719101123595505</v>
      </c>
      <c r="I81" s="69" t="n">
        <v>-0.06558988764044943</v>
      </c>
      <c r="J81" s="68" t="inlineStr"/>
    </row>
    <row r="82">
      <c r="A82" s="67" t="inlineStr">
        <is>
          <t>gh_bounty_hunter</t>
        </is>
      </c>
      <c r="B82" s="68" t="inlineStr">
        <is>
          <t>赏金猎人</t>
        </is>
      </c>
      <c r="C82" s="67" t="inlineStr">
        <is>
          <t>灰港同盟</t>
        </is>
      </c>
      <c r="D82" s="67" t="inlineStr">
        <is>
          <t>随从</t>
        </is>
      </c>
      <c r="E82" s="67" t="n">
        <v>2</v>
      </c>
      <c r="F82" s="67" t="n">
        <v>178</v>
      </c>
      <c r="G82" s="67" t="n">
        <v>63</v>
      </c>
      <c r="H82" s="65" t="n">
        <v>0.3539325842696629</v>
      </c>
      <c r="I82" s="69" t="n">
        <v>0.00393258426966292</v>
      </c>
      <c r="J82" s="68" t="inlineStr"/>
    </row>
    <row r="83">
      <c r="A83" s="67" t="inlineStr">
        <is>
          <t>vein_siphon</t>
        </is>
      </c>
      <c r="B83" s="68" t="inlineStr">
        <is>
          <t>引脉虹吸</t>
        </is>
      </c>
      <c r="C83" s="67" t="inlineStr">
        <is>
          <t>普卫岛</t>
        </is>
      </c>
      <c r="D83" s="67" t="inlineStr">
        <is>
          <t>战术</t>
        </is>
      </c>
      <c r="E83" s="67" t="n">
        <v>2</v>
      </c>
      <c r="F83" s="67" t="n">
        <v>175</v>
      </c>
      <c r="G83" s="67" t="n">
        <v>86</v>
      </c>
      <c r="H83" s="65" t="n">
        <v>0.4914285714285714</v>
      </c>
      <c r="I83" s="69" t="n">
        <v>-0.03982142857142856</v>
      </c>
      <c r="J83" s="68" t="inlineStr"/>
    </row>
    <row r="84">
      <c r="A84" s="67" t="inlineStr">
        <is>
          <t>gh_venom_shield</t>
        </is>
      </c>
      <c r="B84" s="68" t="inlineStr">
        <is>
          <t>毒盾刺客</t>
        </is>
      </c>
      <c r="C84" s="67" t="inlineStr">
        <is>
          <t>灰港同盟</t>
        </is>
      </c>
      <c r="D84" s="67" t="inlineStr">
        <is>
          <t>随从</t>
        </is>
      </c>
      <c r="E84" s="67" t="n">
        <v>3</v>
      </c>
      <c r="F84" s="67" t="n">
        <v>175</v>
      </c>
      <c r="G84" s="67" t="n">
        <v>76</v>
      </c>
      <c r="H84" s="65" t="n">
        <v>0.4342857142857143</v>
      </c>
      <c r="I84" s="69" t="n">
        <v>0.0842857142857143</v>
      </c>
      <c r="J84" s="68" t="inlineStr"/>
    </row>
    <row r="85">
      <c r="A85" s="67" t="inlineStr">
        <is>
          <t>tribal_warrior</t>
        </is>
      </c>
      <c r="B85" s="68" t="inlineStr">
        <is>
          <t>部落战士</t>
        </is>
      </c>
      <c r="C85" s="67" t="inlineStr">
        <is>
          <t>西昭</t>
        </is>
      </c>
      <c r="D85" s="67" t="inlineStr">
        <is>
          <t>随从</t>
        </is>
      </c>
      <c r="E85" s="67" t="n">
        <v>1</v>
      </c>
      <c r="F85" s="67" t="n">
        <v>175</v>
      </c>
      <c r="G85" s="67" t="n">
        <v>71</v>
      </c>
      <c r="H85" s="65" t="n">
        <v>0.4057142857142857</v>
      </c>
      <c r="I85" s="69" t="n">
        <v>-0.05886904761904765</v>
      </c>
      <c r="J85" s="68" t="inlineStr"/>
    </row>
    <row r="86">
      <c r="A86" s="67" t="inlineStr">
        <is>
          <t>gh_venom_apprentice</t>
        </is>
      </c>
      <c r="B86" s="68" t="inlineStr">
        <is>
          <t>淬毒学徒</t>
        </is>
      </c>
      <c r="C86" s="67" t="inlineStr">
        <is>
          <t>灰港同盟</t>
        </is>
      </c>
      <c r="D86" s="67" t="inlineStr">
        <is>
          <t>随从</t>
        </is>
      </c>
      <c r="E86" s="67" t="n">
        <v>1</v>
      </c>
      <c r="F86" s="67" t="n">
        <v>173</v>
      </c>
      <c r="G86" s="67" t="n">
        <v>79</v>
      </c>
      <c r="H86" s="65" t="n">
        <v>0.4566473988439306</v>
      </c>
      <c r="I86" s="69" t="n">
        <v>0.1066473988439307</v>
      </c>
      <c r="J86" s="68" t="inlineStr"/>
    </row>
    <row r="87">
      <c r="A87" s="67" t="inlineStr">
        <is>
          <t>gh_bounty_collector</t>
        </is>
      </c>
      <c r="B87" s="68" t="inlineStr">
        <is>
          <t>赏金猎手</t>
        </is>
      </c>
      <c r="C87" s="67" t="inlineStr">
        <is>
          <t>灰港同盟</t>
        </is>
      </c>
      <c r="D87" s="67" t="inlineStr">
        <is>
          <t>随从</t>
        </is>
      </c>
      <c r="E87" s="67" t="n">
        <v>4</v>
      </c>
      <c r="F87" s="67" t="n">
        <v>172</v>
      </c>
      <c r="G87" s="67" t="n">
        <v>62</v>
      </c>
      <c r="H87" s="65" t="n">
        <v>0.3604651162790697</v>
      </c>
      <c r="I87" s="69" t="n">
        <v>0.01046511627906976</v>
      </c>
      <c r="J87" s="68" t="inlineStr"/>
    </row>
    <row r="88">
      <c r="A88" s="67" t="inlineStr">
        <is>
          <t>gh_shield_broker</t>
        </is>
      </c>
      <c r="B88" s="68" t="inlineStr">
        <is>
          <t>悬赏掮客</t>
        </is>
      </c>
      <c r="C88" s="67" t="inlineStr">
        <is>
          <t>灰港同盟</t>
        </is>
      </c>
      <c r="D88" s="67" t="inlineStr">
        <is>
          <t>随从</t>
        </is>
      </c>
      <c r="E88" s="67" t="n">
        <v>4</v>
      </c>
      <c r="F88" s="67" t="n">
        <v>171</v>
      </c>
      <c r="G88" s="67" t="n">
        <v>79</v>
      </c>
      <c r="H88" s="65" t="n">
        <v>0.4619883040935672</v>
      </c>
      <c r="I88" s="69" t="n">
        <v>0.1119883040935672</v>
      </c>
      <c r="J88" s="68" t="inlineStr"/>
    </row>
    <row r="89">
      <c r="A89" s="67" t="inlineStr">
        <is>
          <t>gh_silence_field</t>
        </is>
      </c>
      <c r="B89" s="68" t="inlineStr">
        <is>
          <t>沉默领域</t>
        </is>
      </c>
      <c r="C89" s="67" t="inlineStr">
        <is>
          <t>灰港同盟</t>
        </is>
      </c>
      <c r="D89" s="67" t="inlineStr">
        <is>
          <t>战术</t>
        </is>
      </c>
      <c r="E89" s="67" t="n">
        <v>3</v>
      </c>
      <c r="F89" s="67" t="n">
        <v>168</v>
      </c>
      <c r="G89" s="67" t="n">
        <v>56</v>
      </c>
      <c r="H89" s="65" t="n">
        <v>0.3333333333333333</v>
      </c>
      <c r="I89" s="69" t="n">
        <v>-0.01666666666666666</v>
      </c>
      <c r="J89" s="68" t="inlineStr"/>
    </row>
    <row r="90">
      <c r="A90" s="67" t="inlineStr">
        <is>
          <t>monster_summon</t>
        </is>
      </c>
      <c r="B90" s="68" t="inlineStr">
        <is>
          <t>魔物召唤</t>
        </is>
      </c>
      <c r="C90" s="67" t="inlineStr">
        <is>
          <t>西昭</t>
        </is>
      </c>
      <c r="D90" s="67" t="inlineStr">
        <is>
          <t>战术</t>
        </is>
      </c>
      <c r="E90" s="67" t="n">
        <v>4</v>
      </c>
      <c r="F90" s="67" t="n">
        <v>168</v>
      </c>
      <c r="G90" s="67" t="n">
        <v>73</v>
      </c>
      <c r="H90" s="65" t="n">
        <v>0.4345238095238095</v>
      </c>
      <c r="I90" s="69" t="n">
        <v>-0.03005952380952381</v>
      </c>
      <c r="J90" s="68" t="inlineStr"/>
    </row>
    <row r="91">
      <c r="A91" s="67" t="inlineStr">
        <is>
          <t>gh_ledger</t>
        </is>
      </c>
      <c r="B91" s="68" t="inlineStr">
        <is>
          <t>悬赏账簿</t>
        </is>
      </c>
      <c r="C91" s="67" t="inlineStr">
        <is>
          <t>灰港同盟</t>
        </is>
      </c>
      <c r="D91" s="67" t="inlineStr">
        <is>
          <t>战术</t>
        </is>
      </c>
      <c r="E91" s="67" t="n">
        <v>2</v>
      </c>
      <c r="F91" s="67" t="n">
        <v>167</v>
      </c>
      <c r="G91" s="67" t="n">
        <v>58</v>
      </c>
      <c r="H91" s="65" t="n">
        <v>0.3473053892215569</v>
      </c>
      <c r="I91" s="69" t="n">
        <v>-0.002694610778443074</v>
      </c>
      <c r="J91" s="68" t="inlineStr"/>
    </row>
    <row r="92">
      <c r="A92" s="67" t="inlineStr">
        <is>
          <t>gh_rush_archer</t>
        </is>
      </c>
      <c r="B92" s="68" t="inlineStr">
        <is>
          <t>袭扰弓手</t>
        </is>
      </c>
      <c r="C92" s="67" t="inlineStr">
        <is>
          <t>灰港同盟</t>
        </is>
      </c>
      <c r="D92" s="67" t="inlineStr">
        <is>
          <t>随从</t>
        </is>
      </c>
      <c r="E92" s="67" t="n">
        <v>2</v>
      </c>
      <c r="F92" s="67" t="n">
        <v>165</v>
      </c>
      <c r="G92" s="67" t="n">
        <v>61</v>
      </c>
      <c r="H92" s="65" t="n">
        <v>0.3696969696969697</v>
      </c>
      <c r="I92" s="69" t="n">
        <v>0.01969696969696971</v>
      </c>
      <c r="J92" s="68" t="inlineStr"/>
    </row>
    <row r="93">
      <c r="A93" s="67" t="inlineStr">
        <is>
          <t>shadow_raid</t>
        </is>
      </c>
      <c r="B93" s="68" t="inlineStr">
        <is>
          <t>暗影袭扰</t>
        </is>
      </c>
      <c r="C93" s="67" t="inlineStr">
        <is>
          <t>西昭</t>
        </is>
      </c>
      <c r="D93" s="67" t="inlineStr">
        <is>
          <t>战术</t>
        </is>
      </c>
      <c r="E93" s="67" t="n">
        <v>2</v>
      </c>
      <c r="F93" s="67" t="n">
        <v>161</v>
      </c>
      <c r="G93" s="67" t="n">
        <v>72</v>
      </c>
      <c r="H93" s="65" t="n">
        <v>0.4472049689440994</v>
      </c>
      <c r="I93" s="69" t="n">
        <v>-0.01737836438923396</v>
      </c>
      <c r="J93" s="68" t="inlineStr"/>
    </row>
    <row r="94">
      <c r="A94" s="67" t="inlineStr">
        <is>
          <t>gh_contract_squire</t>
        </is>
      </c>
      <c r="B94" s="68" t="inlineStr">
        <is>
          <t>契约侍从</t>
        </is>
      </c>
      <c r="C94" s="67" t="inlineStr">
        <is>
          <t>灰港同盟</t>
        </is>
      </c>
      <c r="D94" s="67" t="inlineStr">
        <is>
          <t>随从</t>
        </is>
      </c>
      <c r="E94" s="67" t="n">
        <v>1</v>
      </c>
      <c r="F94" s="67" t="n">
        <v>160</v>
      </c>
      <c r="G94" s="67" t="n">
        <v>54</v>
      </c>
      <c r="H94" s="65" t="n">
        <v>0.3375</v>
      </c>
      <c r="I94" s="69" t="n">
        <v>-0.01249999999999996</v>
      </c>
      <c r="J94" s="68" t="inlineStr"/>
    </row>
    <row r="95">
      <c r="A95" s="67" t="inlineStr">
        <is>
          <t>shield_recruit</t>
        </is>
      </c>
      <c r="B95" s="68" t="inlineStr">
        <is>
          <t>盾墙新兵</t>
        </is>
      </c>
      <c r="C95" s="67" t="inlineStr">
        <is>
          <t>共和国</t>
        </is>
      </c>
      <c r="D95" s="67" t="inlineStr">
        <is>
          <t>随从</t>
        </is>
      </c>
      <c r="E95" s="67" t="n">
        <v>1</v>
      </c>
      <c r="F95" s="67" t="n">
        <v>158</v>
      </c>
      <c r="G95" s="67" t="n">
        <v>70</v>
      </c>
      <c r="H95" s="65" t="n">
        <v>0.4430379746835443</v>
      </c>
      <c r="I95" s="69" t="n">
        <v>-0.04654535864978904</v>
      </c>
      <c r="J95" s="68" t="inlineStr"/>
    </row>
    <row r="96">
      <c r="A96" s="67" t="inlineStr">
        <is>
          <t>formation_vein</t>
        </is>
      </c>
      <c r="B96" s="68" t="inlineStr">
        <is>
          <t>地脉阵线</t>
        </is>
      </c>
      <c r="C96" s="67" t="inlineStr">
        <is>
          <t>普卫岛</t>
        </is>
      </c>
      <c r="D96" s="67" t="inlineStr">
        <is>
          <t>阵型</t>
        </is>
      </c>
      <c r="E96" s="67" t="n">
        <v>3</v>
      </c>
      <c r="F96" s="67" t="n">
        <v>157</v>
      </c>
      <c r="G96" s="67" t="n">
        <v>47</v>
      </c>
      <c r="H96" s="65" t="n">
        <v>0.2993630573248408</v>
      </c>
      <c r="I96" s="69" t="n">
        <v>-0.2318869426751592</v>
      </c>
      <c r="J96" s="68" t="inlineStr"/>
    </row>
    <row r="97">
      <c r="A97" s="67" t="inlineStr">
        <is>
          <t>blood_executor</t>
        </is>
      </c>
      <c r="B97" s="68" t="inlineStr">
        <is>
          <t>血债执行者</t>
        </is>
      </c>
      <c r="C97" s="67" t="inlineStr">
        <is>
          <t>西昭</t>
        </is>
      </c>
      <c r="D97" s="67" t="inlineStr">
        <is>
          <t>随从</t>
        </is>
      </c>
      <c r="E97" s="67" t="n">
        <v>4</v>
      </c>
      <c r="F97" s="67" t="n">
        <v>154</v>
      </c>
      <c r="G97" s="67" t="n">
        <v>72</v>
      </c>
      <c r="H97" s="65" t="n">
        <v>0.4675324675324675</v>
      </c>
      <c r="I97" s="69" t="n">
        <v>0.002949134199134174</v>
      </c>
      <c r="J97" s="68" t="inlineStr"/>
    </row>
    <row r="98">
      <c r="A98" s="67" t="inlineStr">
        <is>
          <t>blood_imp</t>
        </is>
      </c>
      <c r="B98" s="68" t="inlineStr">
        <is>
          <t>血潮小鬼</t>
        </is>
      </c>
      <c r="C98" s="67" t="inlineStr">
        <is>
          <t>西昭</t>
        </is>
      </c>
      <c r="D98" s="67" t="inlineStr">
        <is>
          <t>随从</t>
        </is>
      </c>
      <c r="E98" s="67" t="n">
        <v>2</v>
      </c>
      <c r="F98" s="67" t="n">
        <v>154</v>
      </c>
      <c r="G98" s="67" t="n">
        <v>68</v>
      </c>
      <c r="H98" s="65" t="n">
        <v>0.4415584415584415</v>
      </c>
      <c r="I98" s="69" t="n">
        <v>-0.02302489177489181</v>
      </c>
      <c r="J98" s="68" t="inlineStr"/>
    </row>
    <row r="99">
      <c r="A99" s="67" t="inlineStr">
        <is>
          <t>gh_bounty_verdict</t>
        </is>
      </c>
      <c r="B99" s="68" t="inlineStr">
        <is>
          <t>赏金清算</t>
        </is>
      </c>
      <c r="C99" s="67" t="inlineStr">
        <is>
          <t>灰港同盟</t>
        </is>
      </c>
      <c r="D99" s="67" t="inlineStr">
        <is>
          <t>战术</t>
        </is>
      </c>
      <c r="E99" s="67" t="n">
        <v>5</v>
      </c>
      <c r="F99" s="67" t="n">
        <v>154</v>
      </c>
      <c r="G99" s="67" t="n">
        <v>63</v>
      </c>
      <c r="H99" s="65" t="n">
        <v>0.4090909090909091</v>
      </c>
      <c r="I99" s="69" t="n">
        <v>0.05909090909090914</v>
      </c>
      <c r="J99" s="68" t="inlineStr"/>
    </row>
    <row r="100">
      <c r="A100" s="67" t="inlineStr">
        <is>
          <t>venom_fang</t>
        </is>
      </c>
      <c r="B100" s="68" t="inlineStr">
        <is>
          <t>毒潮獠牙</t>
        </is>
      </c>
      <c r="C100" s="67" t="inlineStr">
        <is>
          <t>西昭</t>
        </is>
      </c>
      <c r="D100" s="67" t="inlineStr">
        <is>
          <t>随从</t>
        </is>
      </c>
      <c r="E100" s="67" t="n">
        <v>3</v>
      </c>
      <c r="F100" s="67" t="n">
        <v>153</v>
      </c>
      <c r="G100" s="67" t="n">
        <v>61</v>
      </c>
      <c r="H100" s="65" t="n">
        <v>0.3986928104575164</v>
      </c>
      <c r="I100" s="69" t="n">
        <v>-0.06589052287581698</v>
      </c>
      <c r="J100" s="68" t="inlineStr"/>
    </row>
    <row r="101">
      <c r="A101" s="67" t="inlineStr">
        <is>
          <t>gh_black_market</t>
        </is>
      </c>
      <c r="B101" s="68" t="inlineStr">
        <is>
          <t>黑市交易</t>
        </is>
      </c>
      <c r="C101" s="67" t="inlineStr">
        <is>
          <t>灰港同盟</t>
        </is>
      </c>
      <c r="D101" s="67" t="inlineStr">
        <is>
          <t>战术</t>
        </is>
      </c>
      <c r="E101" s="67" t="n">
        <v>3</v>
      </c>
      <c r="F101" s="67" t="n">
        <v>152</v>
      </c>
      <c r="G101" s="67" t="n">
        <v>67</v>
      </c>
      <c r="H101" s="65" t="n">
        <v>0.4407894736842105</v>
      </c>
      <c r="I101" s="69" t="n">
        <v>0.09078947368421053</v>
      </c>
      <c r="J101" s="68" t="inlineStr"/>
    </row>
    <row r="102">
      <c r="A102" s="67" t="inlineStr">
        <is>
          <t>molan</t>
        </is>
      </c>
      <c r="B102" s="68" t="inlineStr">
        <is>
          <t>墨兰</t>
        </is>
      </c>
      <c r="C102" s="67" t="inlineStr">
        <is>
          <t>西昭</t>
        </is>
      </c>
      <c r="D102" s="67" t="inlineStr">
        <is>
          <t>随从</t>
        </is>
      </c>
      <c r="E102" s="67" t="n">
        <v>3</v>
      </c>
      <c r="F102" s="67" t="n">
        <v>151</v>
      </c>
      <c r="G102" s="67" t="n">
        <v>62</v>
      </c>
      <c r="H102" s="65" t="n">
        <v>0.4105960264900662</v>
      </c>
      <c r="I102" s="69" t="n">
        <v>-0.05398730684326714</v>
      </c>
      <c r="J102" s="68" t="inlineStr"/>
    </row>
    <row r="103">
      <c r="A103" s="67" t="inlineStr">
        <is>
          <t>martial_court</t>
        </is>
      </c>
      <c r="B103" s="68" t="inlineStr">
        <is>
          <t>军事法庭</t>
        </is>
      </c>
      <c r="C103" s="67" t="inlineStr">
        <is>
          <t>帝国</t>
        </is>
      </c>
      <c r="D103" s="67" t="inlineStr">
        <is>
          <t>战术</t>
        </is>
      </c>
      <c r="E103" s="67" t="n">
        <v>2</v>
      </c>
      <c r="F103" s="67" t="n">
        <v>150</v>
      </c>
      <c r="G103" s="67" t="n">
        <v>76</v>
      </c>
      <c r="H103" s="65" t="n">
        <v>0.5066666666666667</v>
      </c>
      <c r="I103" s="69" t="n">
        <v>-0.1058333333333333</v>
      </c>
      <c r="J103" s="68" t="inlineStr"/>
    </row>
    <row r="104">
      <c r="A104" s="67" t="inlineStr">
        <is>
          <t>vein_heart</t>
        </is>
      </c>
      <c r="B104" s="68" t="inlineStr">
        <is>
          <t>地脉之心</t>
        </is>
      </c>
      <c r="C104" s="67" t="inlineStr">
        <is>
          <t>普卫岛</t>
        </is>
      </c>
      <c r="D104" s="67" t="inlineStr">
        <is>
          <t>遗物</t>
        </is>
      </c>
      <c r="E104" s="67" t="n">
        <v>3</v>
      </c>
      <c r="F104" s="67" t="n">
        <v>150</v>
      </c>
      <c r="G104" s="67" t="n">
        <v>45</v>
      </c>
      <c r="H104" s="65" t="n">
        <v>0.3</v>
      </c>
      <c r="I104" s="69" t="n">
        <v>-0.23125</v>
      </c>
      <c r="J104" s="68" t="inlineStr"/>
    </row>
    <row r="105">
      <c r="A105" s="67" t="inlineStr">
        <is>
          <t>tiega</t>
        </is>
      </c>
      <c r="B105" s="68" t="inlineStr">
        <is>
          <t>铁牙·阿古</t>
        </is>
      </c>
      <c r="C105" s="67" t="inlineStr">
        <is>
          <t>西昭</t>
        </is>
      </c>
      <c r="D105" s="67" t="inlineStr">
        <is>
          <t>随从</t>
        </is>
      </c>
      <c r="E105" s="67" t="n">
        <v>4</v>
      </c>
      <c r="F105" s="67" t="n">
        <v>149</v>
      </c>
      <c r="G105" s="67" t="n">
        <v>73</v>
      </c>
      <c r="H105" s="65" t="n">
        <v>0.4899328859060403</v>
      </c>
      <c r="I105" s="69" t="n">
        <v>0.02534955257270693</v>
      </c>
      <c r="J105" s="68" t="inlineStr"/>
    </row>
    <row r="106">
      <c r="A106" s="67" t="inlineStr">
        <is>
          <t>zone_banner</t>
        </is>
      </c>
      <c r="B106" s="68" t="inlineStr">
        <is>
          <t>阵线旗手</t>
        </is>
      </c>
      <c r="C106" s="67" t="inlineStr">
        <is>
          <t>共和国</t>
        </is>
      </c>
      <c r="D106" s="67" t="inlineStr">
        <is>
          <t>随从</t>
        </is>
      </c>
      <c r="E106" s="67" t="n">
        <v>4</v>
      </c>
      <c r="F106" s="67" t="n">
        <v>148</v>
      </c>
      <c r="G106" s="67" t="n">
        <v>81</v>
      </c>
      <c r="H106" s="65" t="n">
        <v>0.5472972972972973</v>
      </c>
      <c r="I106" s="69" t="n">
        <v>0.05771396396396394</v>
      </c>
      <c r="J106" s="68" t="inlineStr"/>
    </row>
    <row r="107">
      <c r="A107" s="67" t="inlineStr">
        <is>
          <t>blood_path</t>
        </is>
      </c>
      <c r="B107" s="68" t="inlineStr">
        <is>
          <t>血路</t>
        </is>
      </c>
      <c r="C107" s="67" t="inlineStr">
        <is>
          <t>西昭</t>
        </is>
      </c>
      <c r="D107" s="67" t="inlineStr">
        <is>
          <t>战术</t>
        </is>
      </c>
      <c r="E107" s="67" t="n">
        <v>2</v>
      </c>
      <c r="F107" s="67" t="n">
        <v>147</v>
      </c>
      <c r="G107" s="67" t="n">
        <v>60</v>
      </c>
      <c r="H107" s="65" t="n">
        <v>0.4081632653061225</v>
      </c>
      <c r="I107" s="69" t="n">
        <v>-0.05642006802721089</v>
      </c>
      <c r="J107" s="68" t="inlineStr"/>
    </row>
    <row r="108">
      <c r="A108" s="67" t="inlineStr">
        <is>
          <t>beatrix</t>
        </is>
      </c>
      <c r="B108" s="68" t="inlineStr">
        <is>
          <t>贝娅特丽克丝·冯·艾森胡特</t>
        </is>
      </c>
      <c r="C108" s="67" t="inlineStr">
        <is>
          <t>共和国</t>
        </is>
      </c>
      <c r="D108" s="67" t="inlineStr">
        <is>
          <t>随从</t>
        </is>
      </c>
      <c r="E108" s="67" t="n">
        <v>4</v>
      </c>
      <c r="F108" s="67" t="n">
        <v>146</v>
      </c>
      <c r="G108" s="67" t="n">
        <v>75</v>
      </c>
      <c r="H108" s="65" t="n">
        <v>0.5136986301369864</v>
      </c>
      <c r="I108" s="69" t="n">
        <v>0.02411529680365304</v>
      </c>
      <c r="J108" s="68" t="inlineStr"/>
    </row>
    <row r="109">
      <c r="A109" s="67" t="inlineStr">
        <is>
          <t>phalanx_warden</t>
        </is>
      </c>
      <c r="B109" s="68" t="inlineStr">
        <is>
          <t>方阵守望</t>
        </is>
      </c>
      <c r="C109" s="67" t="inlineStr">
        <is>
          <t>共和国</t>
        </is>
      </c>
      <c r="D109" s="67" t="inlineStr">
        <is>
          <t>随从</t>
        </is>
      </c>
      <c r="E109" s="67" t="n">
        <v>4</v>
      </c>
      <c r="F109" s="67" t="n">
        <v>144</v>
      </c>
      <c r="G109" s="67" t="n">
        <v>81</v>
      </c>
      <c r="H109" s="65" t="n">
        <v>0.5625</v>
      </c>
      <c r="I109" s="69" t="n">
        <v>0.07291666666666669</v>
      </c>
      <c r="J109" s="68" t="inlineStr"/>
    </row>
    <row r="110">
      <c r="A110" s="67" t="inlineStr">
        <is>
          <t>hans</t>
        </is>
      </c>
      <c r="B110" s="68" t="inlineStr">
        <is>
          <t>汉斯·冯·霍尔姆</t>
        </is>
      </c>
      <c r="C110" s="67" t="inlineStr">
        <is>
          <t>共和国</t>
        </is>
      </c>
      <c r="D110" s="67" t="inlineStr">
        <is>
          <t>随从</t>
        </is>
      </c>
      <c r="E110" s="67" t="n">
        <v>2</v>
      </c>
      <c r="F110" s="67" t="n">
        <v>144</v>
      </c>
      <c r="G110" s="67" t="n">
        <v>73</v>
      </c>
      <c r="H110" s="65" t="n">
        <v>0.5069444444444444</v>
      </c>
      <c r="I110" s="69" t="n">
        <v>0.0173611111111111</v>
      </c>
      <c r="J110" s="68" t="inlineStr"/>
    </row>
    <row r="111">
      <c r="A111" s="67" t="inlineStr">
        <is>
          <t>elena</t>
        </is>
      </c>
      <c r="B111" s="68" t="inlineStr">
        <is>
          <t>伊莲娜·索菲</t>
        </is>
      </c>
      <c r="C111" s="67" t="inlineStr">
        <is>
          <t>共和国</t>
        </is>
      </c>
      <c r="D111" s="67" t="inlineStr">
        <is>
          <t>随从</t>
        </is>
      </c>
      <c r="E111" s="67" t="n">
        <v>3</v>
      </c>
      <c r="F111" s="67" t="n">
        <v>143</v>
      </c>
      <c r="G111" s="67" t="n">
        <v>70</v>
      </c>
      <c r="H111" s="65" t="n">
        <v>0.4895104895104895</v>
      </c>
      <c r="I111" s="69" t="n">
        <v>-7.284382284378221e-05</v>
      </c>
      <c r="J111" s="68" t="inlineStr"/>
    </row>
    <row r="112">
      <c r="A112" s="67" t="inlineStr">
        <is>
          <t>blood_servant</t>
        </is>
      </c>
      <c r="B112" s="68" t="inlineStr">
        <is>
          <t>血族仆从</t>
        </is>
      </c>
      <c r="C112" s="67" t="inlineStr">
        <is>
          <t>西昭</t>
        </is>
      </c>
      <c r="D112" s="67" t="inlineStr">
        <is>
          <t>随从</t>
        </is>
      </c>
      <c r="E112" s="67" t="n">
        <v>3</v>
      </c>
      <c r="F112" s="67" t="n">
        <v>143</v>
      </c>
      <c r="G112" s="67" t="n">
        <v>66</v>
      </c>
      <c r="H112" s="65" t="n">
        <v>0.4615384615384616</v>
      </c>
      <c r="I112" s="69" t="n">
        <v>-0.003044871794871784</v>
      </c>
      <c r="J112" s="68" t="inlineStr"/>
    </row>
    <row r="113">
      <c r="A113" s="67" t="inlineStr">
        <is>
          <t>erhardt</t>
        </is>
      </c>
      <c r="B113" s="68" t="inlineStr">
        <is>
          <t>埃尔哈特·冯·罗森</t>
        </is>
      </c>
      <c r="C113" s="67" t="inlineStr">
        <is>
          <t>共和国</t>
        </is>
      </c>
      <c r="D113" s="67" t="inlineStr">
        <is>
          <t>随从</t>
        </is>
      </c>
      <c r="E113" s="67" t="n">
        <v>4</v>
      </c>
      <c r="F113" s="67" t="n">
        <v>138</v>
      </c>
      <c r="G113" s="67" t="n">
        <v>80</v>
      </c>
      <c r="H113" s="65" t="n">
        <v>0.5797101449275363</v>
      </c>
      <c r="I113" s="69" t="n">
        <v>0.09012681159420294</v>
      </c>
      <c r="J113" s="68" t="inlineStr"/>
    </row>
    <row r="114">
      <c r="A114" s="67" t="inlineStr">
        <is>
          <t>shield_bearer</t>
        </is>
      </c>
      <c r="B114" s="68" t="inlineStr">
        <is>
          <t>持盾侍从</t>
        </is>
      </c>
      <c r="C114" s="67" t="inlineStr">
        <is>
          <t>共和国</t>
        </is>
      </c>
      <c r="D114" s="67" t="inlineStr">
        <is>
          <t>随从</t>
        </is>
      </c>
      <c r="E114" s="67" t="n">
        <v>3</v>
      </c>
      <c r="F114" s="67" t="n">
        <v>138</v>
      </c>
      <c r="G114" s="67" t="n">
        <v>74</v>
      </c>
      <c r="H114" s="65" t="n">
        <v>0.5362318840579711</v>
      </c>
      <c r="I114" s="69" t="n">
        <v>0.04664855072463775</v>
      </c>
      <c r="J114" s="68" t="inlineStr"/>
    </row>
    <row r="115">
      <c r="A115" s="67" t="inlineStr">
        <is>
          <t>shield_sergeant</t>
        </is>
      </c>
      <c r="B115" s="68" t="inlineStr">
        <is>
          <t>盾墙军士</t>
        </is>
      </c>
      <c r="C115" s="67" t="inlineStr">
        <is>
          <t>共和国</t>
        </is>
      </c>
      <c r="D115" s="67" t="inlineStr">
        <is>
          <t>随从</t>
        </is>
      </c>
      <c r="E115" s="67" t="n">
        <v>4</v>
      </c>
      <c r="F115" s="67" t="n">
        <v>135</v>
      </c>
      <c r="G115" s="67" t="n">
        <v>74</v>
      </c>
      <c r="H115" s="65" t="n">
        <v>0.5481481481481482</v>
      </c>
      <c r="I115" s="69" t="n">
        <v>0.05856481481481485</v>
      </c>
      <c r="J115" s="68" t="inlineStr"/>
    </row>
    <row r="116">
      <c r="A116" s="67" t="inlineStr">
        <is>
          <t>fortress</t>
        </is>
      </c>
      <c r="B116" s="68" t="inlineStr">
        <is>
          <t>要塞令</t>
        </is>
      </c>
      <c r="C116" s="67" t="inlineStr">
        <is>
          <t>帝国</t>
        </is>
      </c>
      <c r="D116" s="67" t="inlineStr">
        <is>
          <t>战术</t>
        </is>
      </c>
      <c r="E116" s="67" t="n">
        <v>2</v>
      </c>
      <c r="F116" s="67" t="n">
        <v>133</v>
      </c>
      <c r="G116" s="67" t="n">
        <v>84</v>
      </c>
      <c r="H116" s="65" t="n">
        <v>0.631578947368421</v>
      </c>
      <c r="I116" s="69" t="n">
        <v>0.01907894736842097</v>
      </c>
      <c r="J116" s="68" t="inlineStr"/>
    </row>
    <row r="117">
      <c r="A117" s="67" t="inlineStr">
        <is>
          <t>konrad</t>
        </is>
      </c>
      <c r="B117" s="68" t="inlineStr">
        <is>
          <t>康拉德·威廉莱斯</t>
        </is>
      </c>
      <c r="C117" s="67" t="inlineStr">
        <is>
          <t>共和国</t>
        </is>
      </c>
      <c r="D117" s="67" t="inlineStr">
        <is>
          <t>随从</t>
        </is>
      </c>
      <c r="E117" s="67" t="n">
        <v>4</v>
      </c>
      <c r="F117" s="67" t="n">
        <v>132</v>
      </c>
      <c r="G117" s="67" t="n">
        <v>66</v>
      </c>
      <c r="H117" s="65" t="n">
        <v>0.5</v>
      </c>
      <c r="I117" s="69" t="n">
        <v>0.01041666666666669</v>
      </c>
      <c r="J117" s="68" t="inlineStr"/>
    </row>
    <row r="118">
      <c r="A118" s="67" t="inlineStr">
        <is>
          <t>astral_gate</t>
        </is>
      </c>
      <c r="B118" s="68" t="inlineStr">
        <is>
          <t>星门</t>
        </is>
      </c>
      <c r="C118" s="67" t="inlineStr">
        <is>
          <t>中立</t>
        </is>
      </c>
      <c r="D118" s="67" t="inlineStr">
        <is>
          <t>战术</t>
        </is>
      </c>
      <c r="E118" s="67" t="n">
        <v>6</v>
      </c>
      <c r="F118" s="67" t="n">
        <v>122</v>
      </c>
      <c r="G118" s="67" t="n">
        <v>57</v>
      </c>
      <c r="H118" s="65" t="n">
        <v>0.4672131147540984</v>
      </c>
      <c r="I118" s="69" t="n">
        <v>-0.05895576172880462</v>
      </c>
      <c r="J118" s="68" t="inlineStr"/>
    </row>
    <row r="119">
      <c r="A119" s="67" t="inlineStr">
        <is>
          <t>tide_colossus</t>
        </is>
      </c>
      <c r="B119" s="68" t="inlineStr">
        <is>
          <t>潮骸巨像</t>
        </is>
      </c>
      <c r="C119" s="67" t="inlineStr">
        <is>
          <t>西昭</t>
        </is>
      </c>
      <c r="D119" s="67" t="inlineStr">
        <is>
          <t>随从</t>
        </is>
      </c>
      <c r="E119" s="67" t="n">
        <v>7</v>
      </c>
      <c r="F119" s="67" t="n">
        <v>114</v>
      </c>
      <c r="G119" s="67" t="n">
        <v>41</v>
      </c>
      <c r="H119" s="65" t="n">
        <v>0.3596491228070176</v>
      </c>
      <c r="I119" s="69" t="n">
        <v>-0.1049342105263158</v>
      </c>
      <c r="J119" s="68" t="inlineStr"/>
    </row>
    <row r="120">
      <c r="A120" s="67" t="inlineStr">
        <is>
          <t>iron_phalanx</t>
        </is>
      </c>
      <c r="B120" s="68" t="inlineStr">
        <is>
          <t>铁壁方阵</t>
        </is>
      </c>
      <c r="C120" s="67" t="inlineStr">
        <is>
          <t>共和国</t>
        </is>
      </c>
      <c r="D120" s="67" t="inlineStr">
        <is>
          <t>随从</t>
        </is>
      </c>
      <c r="E120" s="67" t="n">
        <v>5</v>
      </c>
      <c r="F120" s="67" t="n">
        <v>113</v>
      </c>
      <c r="G120" s="67" t="n">
        <v>66</v>
      </c>
      <c r="H120" s="65" t="n">
        <v>0.584070796460177</v>
      </c>
      <c r="I120" s="69" t="n">
        <v>0.0944874631268437</v>
      </c>
      <c r="J120" s="68" t="inlineStr"/>
    </row>
    <row r="121">
      <c r="A121" s="67" t="inlineStr">
        <is>
          <t>astral_colossus</t>
        </is>
      </c>
      <c r="B121" s="68" t="inlineStr">
        <is>
          <t>星界巨像</t>
        </is>
      </c>
      <c r="C121" s="67" t="inlineStr">
        <is>
          <t>中立</t>
        </is>
      </c>
      <c r="D121" s="67" t="inlineStr">
        <is>
          <t>随从</t>
        </is>
      </c>
      <c r="E121" s="67" t="n">
        <v>6</v>
      </c>
      <c r="F121" s="67" t="n">
        <v>101</v>
      </c>
      <c r="G121" s="67" t="n">
        <v>62</v>
      </c>
      <c r="H121" s="65" t="n">
        <v>0.6138613861386139</v>
      </c>
      <c r="I121" s="69" t="n">
        <v>0.08769250965571085</v>
      </c>
      <c r="J121" s="68" t="inlineStr"/>
    </row>
    <row r="122">
      <c r="A122" s="67" t="inlineStr">
        <is>
          <t>blood_scythe</t>
        </is>
      </c>
      <c r="B122" s="68" t="inlineStr">
        <is>
          <t>血潮镰</t>
        </is>
      </c>
      <c r="C122" s="67" t="inlineStr">
        <is>
          <t>西昭</t>
        </is>
      </c>
      <c r="D122" s="67" t="inlineStr">
        <is>
          <t>遗物</t>
        </is>
      </c>
      <c r="E122" s="67" t="n">
        <v>3</v>
      </c>
      <c r="F122" s="67" t="n">
        <v>101</v>
      </c>
      <c r="G122" s="67" t="n">
        <v>36</v>
      </c>
      <c r="H122" s="65" t="n">
        <v>0.3564356435643564</v>
      </c>
      <c r="I122" s="69" t="n">
        <v>-0.1081476897689769</v>
      </c>
      <c r="J122" s="68" t="inlineStr"/>
    </row>
    <row r="123">
      <c r="A123" s="67" t="inlineStr">
        <is>
          <t>powder_engine</t>
        </is>
      </c>
      <c r="B123" s="68" t="inlineStr">
        <is>
          <t>火药引擎</t>
        </is>
      </c>
      <c r="C123" s="67" t="inlineStr">
        <is>
          <t>帝国</t>
        </is>
      </c>
      <c r="D123" s="67" t="inlineStr">
        <is>
          <t>遗物</t>
        </is>
      </c>
      <c r="E123" s="67" t="n">
        <v>3</v>
      </c>
      <c r="F123" s="67" t="n">
        <v>98</v>
      </c>
      <c r="G123" s="67" t="n">
        <v>61</v>
      </c>
      <c r="H123" s="65" t="n">
        <v>0.6224489795918368</v>
      </c>
      <c r="I123" s="69" t="n">
        <v>0.009948979591836715</v>
      </c>
      <c r="J123" s="68" t="inlineStr"/>
    </row>
    <row r="124">
      <c r="A124" s="67" t="inlineStr">
        <is>
          <t>gh_formation</t>
        </is>
      </c>
      <c r="B124" s="68" t="inlineStr">
        <is>
          <t>潜伏阵线</t>
        </is>
      </c>
      <c r="C124" s="67" t="inlineStr">
        <is>
          <t>灰港同盟</t>
        </is>
      </c>
      <c r="D124" s="67" t="inlineStr">
        <is>
          <t>阵型</t>
        </is>
      </c>
      <c r="E124" s="67" t="n">
        <v>5</v>
      </c>
      <c r="F124" s="67" t="n">
        <v>90</v>
      </c>
      <c r="G124" s="67" t="n">
        <v>29</v>
      </c>
      <c r="H124" s="65" t="n">
        <v>0.3222222222222222</v>
      </c>
      <c r="I124" s="69" t="n">
        <v>-0.02777777777777773</v>
      </c>
      <c r="J124" s="68" t="inlineStr"/>
    </row>
    <row r="125">
      <c r="A125" s="67" t="inlineStr">
        <is>
          <t>iron_banner</t>
        </is>
      </c>
      <c r="B125" s="68" t="inlineStr">
        <is>
          <t>铁壁军旗</t>
        </is>
      </c>
      <c r="C125" s="67" t="inlineStr">
        <is>
          <t>共和国</t>
        </is>
      </c>
      <c r="D125" s="67" t="inlineStr">
        <is>
          <t>遗物</t>
        </is>
      </c>
      <c r="E125" s="67" t="n">
        <v>4</v>
      </c>
      <c r="F125" s="67" t="n">
        <v>87</v>
      </c>
      <c r="G125" s="67" t="n">
        <v>30</v>
      </c>
      <c r="H125" s="65" t="n">
        <v>0.3448275862068966</v>
      </c>
      <c r="I125" s="69" t="n">
        <v>-0.1447557471264367</v>
      </c>
      <c r="J125" s="68" t="inlineStr"/>
    </row>
    <row r="126">
      <c r="A126" s="67" t="inlineStr">
        <is>
          <t>bastion_captain</t>
        </is>
      </c>
      <c r="B126" s="68" t="inlineStr">
        <is>
          <t>堡垒队长</t>
        </is>
      </c>
      <c r="C126" s="67" t="inlineStr">
        <is>
          <t>共和国</t>
        </is>
      </c>
      <c r="D126" s="67" t="inlineStr">
        <is>
          <t>随从</t>
        </is>
      </c>
      <c r="E126" s="67" t="n">
        <v>5</v>
      </c>
      <c r="F126" s="67" t="n">
        <v>77</v>
      </c>
      <c r="G126" s="67" t="n">
        <v>32</v>
      </c>
      <c r="H126" s="65" t="n">
        <v>0.4155844155844156</v>
      </c>
      <c r="I126" s="69" t="n">
        <v>-0.0739989177489177</v>
      </c>
      <c r="J126" s="68" t="inlineStr"/>
    </row>
    <row r="127">
      <c r="A127" s="67" t="inlineStr">
        <is>
          <t>chrono_scholar</t>
        </is>
      </c>
      <c r="B127" s="68" t="inlineStr">
        <is>
          <t>时序学者</t>
        </is>
      </c>
      <c r="C127" s="67" t="inlineStr">
        <is>
          <t>中立</t>
        </is>
      </c>
      <c r="D127" s="67" t="inlineStr">
        <is>
          <t>随从</t>
        </is>
      </c>
      <c r="E127" s="67" t="n">
        <v>6</v>
      </c>
      <c r="F127" s="67" t="n">
        <v>76</v>
      </c>
      <c r="G127" s="67" t="n">
        <v>43</v>
      </c>
      <c r="H127" s="65" t="n">
        <v>0.5657894736842105</v>
      </c>
      <c r="I127" s="69" t="n">
        <v>0.03962059720130751</v>
      </c>
      <c r="J127" s="68" t="inlineStr"/>
    </row>
    <row r="128">
      <c r="A128" s="67" t="inlineStr">
        <is>
          <t>formation_cannon</t>
        </is>
      </c>
      <c r="B128" s="68" t="inlineStr">
        <is>
          <t>炮列阵线</t>
        </is>
      </c>
      <c r="C128" s="67" t="inlineStr">
        <is>
          <t>帝国</t>
        </is>
      </c>
      <c r="D128" s="67" t="inlineStr">
        <is>
          <t>阵型</t>
        </is>
      </c>
      <c r="E128" s="67" t="n">
        <v>5</v>
      </c>
      <c r="F128" s="67" t="n">
        <v>70</v>
      </c>
      <c r="G128" s="67" t="n">
        <v>36</v>
      </c>
      <c r="H128" s="65" t="n">
        <v>0.5142857142857142</v>
      </c>
      <c r="I128" s="69" t="n">
        <v>-0.09821428571428581</v>
      </c>
      <c r="J128" s="68" t="inlineStr"/>
    </row>
    <row r="129">
      <c r="A129" s="67" t="inlineStr">
        <is>
          <t>formation_tide</t>
        </is>
      </c>
      <c r="B129" s="68" t="inlineStr">
        <is>
          <t>潮痕阵线</t>
        </is>
      </c>
      <c r="C129" s="67" t="inlineStr">
        <is>
          <t>西昭</t>
        </is>
      </c>
      <c r="D129" s="67" t="inlineStr">
        <is>
          <t>阵型</t>
        </is>
      </c>
      <c r="E129" s="67" t="n">
        <v>4</v>
      </c>
      <c r="F129" s="67" t="n">
        <v>69</v>
      </c>
      <c r="G129" s="67" t="n">
        <v>10</v>
      </c>
      <c r="H129" s="65" t="n">
        <v>0.1449275362318841</v>
      </c>
      <c r="I129" s="69" t="n">
        <v>-0.3196557971014493</v>
      </c>
      <c r="J129" s="68" t="inlineStr"/>
    </row>
    <row r="130">
      <c r="A130" s="67" t="inlineStr">
        <is>
          <t>martial_law</t>
        </is>
      </c>
      <c r="B130" s="68" t="inlineStr">
        <is>
          <t>戒严令</t>
        </is>
      </c>
      <c r="C130" s="67" t="inlineStr">
        <is>
          <t>共和国</t>
        </is>
      </c>
      <c r="D130" s="67" t="inlineStr">
        <is>
          <t>战术</t>
        </is>
      </c>
      <c r="E130" s="67" t="n">
        <v>4</v>
      </c>
      <c r="F130" s="67" t="n">
        <v>67</v>
      </c>
      <c r="G130" s="67" t="n">
        <v>41</v>
      </c>
      <c r="H130" s="65" t="n">
        <v>0.6119402985074627</v>
      </c>
      <c r="I130" s="69" t="n">
        <v>0.1223569651741294</v>
      </c>
      <c r="J130" s="68" t="inlineStr"/>
    </row>
    <row r="131">
      <c r="A131" s="67" t="inlineStr">
        <is>
          <t>vein_tithe</t>
        </is>
      </c>
      <c r="B131" s="68" t="inlineStr">
        <is>
          <t>流脉什一税</t>
        </is>
      </c>
      <c r="C131" s="67" t="inlineStr">
        <is>
          <t>中立</t>
        </is>
      </c>
      <c r="D131" s="67" t="inlineStr">
        <is>
          <t>战术</t>
        </is>
      </c>
      <c r="E131" s="67" t="n">
        <v>4</v>
      </c>
      <c r="F131" s="67" t="n">
        <v>67</v>
      </c>
      <c r="G131" s="67" t="n">
        <v>51</v>
      </c>
      <c r="H131" s="65" t="n">
        <v>0.7611940298507462</v>
      </c>
      <c r="I131" s="69" t="n">
        <v>0.2350251533678432</v>
      </c>
      <c r="J131" s="68" t="inlineStr"/>
    </row>
    <row r="132">
      <c r="A132" s="67" t="inlineStr">
        <is>
          <t>fortify</t>
        </is>
      </c>
      <c r="B132" s="68" t="inlineStr">
        <is>
          <t>筑防令</t>
        </is>
      </c>
      <c r="C132" s="67" t="inlineStr">
        <is>
          <t>共和国</t>
        </is>
      </c>
      <c r="D132" s="67" t="inlineStr">
        <is>
          <t>战术</t>
        </is>
      </c>
      <c r="E132" s="67" t="n">
        <v>1</v>
      </c>
      <c r="F132" s="67" t="n">
        <v>54</v>
      </c>
      <c r="G132" s="67" t="n">
        <v>23</v>
      </c>
      <c r="H132" s="65" t="n">
        <v>0.4259259259259259</v>
      </c>
      <c r="I132" s="69" t="n">
        <v>-0.06365740740740738</v>
      </c>
      <c r="J132" s="68" t="inlineStr"/>
    </row>
    <row r="133">
      <c r="A133" s="67" t="inlineStr">
        <is>
          <t>final_bell</t>
        </is>
      </c>
      <c r="B133" s="68" t="inlineStr">
        <is>
          <t>终末钟声</t>
        </is>
      </c>
      <c r="C133" s="67" t="inlineStr">
        <is>
          <t>中立</t>
        </is>
      </c>
      <c r="D133" s="67" t="inlineStr">
        <is>
          <t>战术</t>
        </is>
      </c>
      <c r="E133" s="67" t="n">
        <v>10</v>
      </c>
      <c r="F133" s="67" t="n">
        <v>43</v>
      </c>
      <c r="G133" s="67" t="n">
        <v>38</v>
      </c>
      <c r="H133" s="65" t="n">
        <v>0.8837209302325582</v>
      </c>
      <c r="I133" s="69" t="n">
        <v>0.3575520537496552</v>
      </c>
      <c r="J133" s="68" t="inlineStr"/>
    </row>
    <row r="134">
      <c r="A134" s="67" t="inlineStr">
        <is>
          <t>moonfall</t>
        </is>
      </c>
      <c r="B134" s="68" t="inlineStr">
        <is>
          <t>群星坠落</t>
        </is>
      </c>
      <c r="C134" s="67" t="inlineStr">
        <is>
          <t>中立</t>
        </is>
      </c>
      <c r="D134" s="67" t="inlineStr">
        <is>
          <t>战术</t>
        </is>
      </c>
      <c r="E134" s="67" t="n">
        <v>8</v>
      </c>
      <c r="F134" s="67" t="n">
        <v>40</v>
      </c>
      <c r="G134" s="67" t="n">
        <v>32</v>
      </c>
      <c r="H134" s="65" t="n">
        <v>0.8</v>
      </c>
      <c r="I134" s="69" t="n">
        <v>0.273831123517097</v>
      </c>
      <c r="J134" s="68" t="inlineStr"/>
    </row>
    <row r="135">
      <c r="A135" s="67" t="inlineStr">
        <is>
          <t>old_ledger</t>
        </is>
      </c>
      <c r="B135" s="68" t="inlineStr">
        <is>
          <t>旧账本</t>
        </is>
      </c>
      <c r="C135" s="67" t="inlineStr">
        <is>
          <t>中立</t>
        </is>
      </c>
      <c r="D135" s="67" t="inlineStr">
        <is>
          <t>战术</t>
        </is>
      </c>
      <c r="E135" s="67" t="n">
        <v>4</v>
      </c>
      <c r="F135" s="67" t="n">
        <v>36</v>
      </c>
      <c r="G135" s="67" t="n">
        <v>26</v>
      </c>
      <c r="H135" s="65" t="n">
        <v>0.7222222222222222</v>
      </c>
      <c r="I135" s="69" t="n">
        <v>0.1960533457393192</v>
      </c>
      <c r="J135" s="68" t="inlineStr"/>
    </row>
    <row r="136">
      <c r="A136" s="67" t="inlineStr">
        <is>
          <t>twin_weaver</t>
        </is>
      </c>
      <c r="B136" s="68" t="inlineStr">
        <is>
          <t>双生织命者</t>
        </is>
      </c>
      <c r="C136" s="67" t="inlineStr">
        <is>
          <t>中立</t>
        </is>
      </c>
      <c r="D136" s="67" t="inlineStr">
        <is>
          <t>随从</t>
        </is>
      </c>
      <c r="E136" s="67" t="n">
        <v>7</v>
      </c>
      <c r="F136" s="67" t="n">
        <v>34</v>
      </c>
      <c r="G136" s="67" t="n">
        <v>16</v>
      </c>
      <c r="H136" s="65" t="n">
        <v>0.4705882352941176</v>
      </c>
      <c r="I136" s="69" t="n">
        <v>-0.05558064118878536</v>
      </c>
      <c r="J136" s="68" t="inlineStr"/>
    </row>
    <row r="137">
      <c r="A137" s="67" t="inlineStr">
        <is>
          <t>combo_spark</t>
        </is>
      </c>
      <c r="B137" s="68" t="inlineStr">
        <is>
          <t>顺势火花</t>
        </is>
      </c>
      <c r="C137" s="67" t="inlineStr">
        <is>
          <t>学院</t>
        </is>
      </c>
      <c r="D137" s="67" t="inlineStr">
        <is>
          <t>战术</t>
        </is>
      </c>
      <c r="E137" s="67" t="n">
        <v>3</v>
      </c>
      <c r="F137" s="67" t="n">
        <v>28</v>
      </c>
      <c r="G137" s="67" t="n">
        <v>16</v>
      </c>
      <c r="H137" s="65" t="n">
        <v>0.5714285714285714</v>
      </c>
      <c r="I137" s="69" t="n">
        <v>0.03392857142857142</v>
      </c>
      <c r="J137" s="68" t="inlineStr"/>
    </row>
    <row r="138">
      <c r="A138" s="67" t="inlineStr">
        <is>
          <t>arcane_surge</t>
        </is>
      </c>
      <c r="B138" s="68" t="inlineStr">
        <is>
          <t>奥术涌流</t>
        </is>
      </c>
      <c r="C138" s="67" t="inlineStr">
        <is>
          <t>学院</t>
        </is>
      </c>
      <c r="D138" s="67" t="inlineStr">
        <is>
          <t>战术</t>
        </is>
      </c>
      <c r="E138" s="67" t="n">
        <v>4</v>
      </c>
      <c r="F138" s="67" t="n">
        <v>25</v>
      </c>
      <c r="G138" s="67" t="n">
        <v>13</v>
      </c>
      <c r="H138" s="65" t="n">
        <v>0.52</v>
      </c>
      <c r="I138" s="69" t="n">
        <v>-0.01749999999999996</v>
      </c>
      <c r="J138" s="68" t="inlineStr"/>
    </row>
    <row r="139">
      <c r="A139" s="67" t="inlineStr">
        <is>
          <t>archive_devourer</t>
        </is>
      </c>
      <c r="B139" s="68" t="inlineStr">
        <is>
          <t>档案吞噬者</t>
        </is>
      </c>
      <c r="C139" s="67" t="inlineStr">
        <is>
          <t>中立</t>
        </is>
      </c>
      <c r="D139" s="67" t="inlineStr">
        <is>
          <t>随从</t>
        </is>
      </c>
      <c r="E139" s="67" t="n">
        <v>7</v>
      </c>
      <c r="F139" s="67" t="n">
        <v>22</v>
      </c>
      <c r="G139" s="67" t="n">
        <v>13</v>
      </c>
      <c r="H139" s="65" t="n">
        <v>0.5909090909090909</v>
      </c>
      <c r="I139" s="69" t="n">
        <v>0.06474021442618794</v>
      </c>
      <c r="J139" s="68" t="inlineStr"/>
    </row>
    <row r="140">
      <c r="A140" s="67" t="inlineStr">
        <is>
          <t>impeachment</t>
        </is>
      </c>
      <c r="B140" s="68" t="inlineStr">
        <is>
          <t>弹劾案</t>
        </is>
      </c>
      <c r="C140" s="67" t="inlineStr">
        <is>
          <t>共和国</t>
        </is>
      </c>
      <c r="D140" s="67" t="inlineStr">
        <is>
          <t>战术</t>
        </is>
      </c>
      <c r="E140" s="67" t="n">
        <v>4</v>
      </c>
      <c r="F140" s="67" t="n">
        <v>20</v>
      </c>
      <c r="G140" s="67" t="n">
        <v>13</v>
      </c>
      <c r="H140" s="65" t="n">
        <v>0.65</v>
      </c>
      <c r="I140" s="69" t="n">
        <v>0.1604166666666667</v>
      </c>
      <c r="J140" s="68" t="inlineStr"/>
    </row>
    <row r="141">
      <c r="A141" s="67" t="inlineStr">
        <is>
          <t>shield_marshal</t>
        </is>
      </c>
      <c r="B141" s="68" t="inlineStr">
        <is>
          <t>持盾元帅</t>
        </is>
      </c>
      <c r="C141" s="67" t="inlineStr">
        <is>
          <t>共和国</t>
        </is>
      </c>
      <c r="D141" s="67" t="inlineStr">
        <is>
          <t>随从</t>
        </is>
      </c>
      <c r="E141" s="67" t="n">
        <v>7</v>
      </c>
      <c r="F141" s="67" t="n">
        <v>20</v>
      </c>
      <c r="G141" s="67" t="n">
        <v>15</v>
      </c>
      <c r="H141" s="65" t="n">
        <v>0.75</v>
      </c>
      <c r="I141" s="69" t="n">
        <v>0.2604166666666667</v>
      </c>
      <c r="J141" s="68" t="inlineStr"/>
    </row>
    <row r="142">
      <c r="A142" s="67" t="inlineStr">
        <is>
          <t>vein_channel</t>
        </is>
      </c>
      <c r="B142" s="68" t="inlineStr">
        <is>
          <t>流脉疏导</t>
        </is>
      </c>
      <c r="C142" s="67" t="inlineStr">
        <is>
          <t>中立</t>
        </is>
      </c>
      <c r="D142" s="67" t="inlineStr">
        <is>
          <t>战术</t>
        </is>
      </c>
      <c r="E142" s="67" t="n">
        <v>2</v>
      </c>
      <c r="F142" s="67" t="n">
        <v>19</v>
      </c>
      <c r="G142" s="67" t="n">
        <v>10</v>
      </c>
      <c r="H142" s="65" t="n">
        <v>0.5263157894736842</v>
      </c>
      <c r="I142" s="69" t="n">
        <v>0.0001469129907811784</v>
      </c>
      <c r="J142" s="70" t="inlineStr">
        <is>
          <t>样本不足</t>
        </is>
      </c>
    </row>
    <row r="143">
      <c r="A143" s="67" t="inlineStr">
        <is>
          <t>bounty_hunter</t>
        </is>
      </c>
      <c r="B143" s="68" t="inlineStr">
        <is>
          <t>赏金客</t>
        </is>
      </c>
      <c r="C143" s="67" t="inlineStr">
        <is>
          <t>中立</t>
        </is>
      </c>
      <c r="D143" s="67" t="inlineStr">
        <is>
          <t>随从</t>
        </is>
      </c>
      <c r="E143" s="67" t="n">
        <v>3</v>
      </c>
      <c r="F143" s="67" t="n">
        <v>18</v>
      </c>
      <c r="G143" s="67" t="n">
        <v>10</v>
      </c>
      <c r="H143" s="65" t="n">
        <v>0.5555555555555556</v>
      </c>
      <c r="I143" s="69" t="n">
        <v>0.02938667907265258</v>
      </c>
      <c r="J143" s="70" t="inlineStr">
        <is>
          <t>样本不足</t>
        </is>
      </c>
    </row>
    <row r="144">
      <c r="A144" s="67" t="inlineStr">
        <is>
          <t>phalanx_executor</t>
        </is>
      </c>
      <c r="B144" s="68" t="inlineStr">
        <is>
          <t>方阵执行官</t>
        </is>
      </c>
      <c r="C144" s="67" t="inlineStr">
        <is>
          <t>共和国</t>
        </is>
      </c>
      <c r="D144" s="67" t="inlineStr">
        <is>
          <t>随从</t>
        </is>
      </c>
      <c r="E144" s="67" t="n">
        <v>4</v>
      </c>
      <c r="F144" s="67" t="n">
        <v>17</v>
      </c>
      <c r="G144" s="67" t="n">
        <v>8</v>
      </c>
      <c r="H144" s="65" t="n">
        <v>0.4705882352941176</v>
      </c>
      <c r="I144" s="69" t="n">
        <v>-0.01899509803921567</v>
      </c>
      <c r="J144" s="70" t="inlineStr">
        <is>
          <t>样本不足</t>
        </is>
      </c>
    </row>
    <row r="145">
      <c r="A145" s="67" t="inlineStr">
        <is>
          <t>chrono_archivist</t>
        </is>
      </c>
      <c r="B145" s="68" t="inlineStr">
        <is>
          <t>时序档案官</t>
        </is>
      </c>
      <c r="C145" s="67" t="inlineStr">
        <is>
          <t>中立</t>
        </is>
      </c>
      <c r="D145" s="67" t="inlineStr">
        <is>
          <t>随从</t>
        </is>
      </c>
      <c r="E145" s="67" t="n">
        <v>8</v>
      </c>
      <c r="F145" s="67" t="n">
        <v>17</v>
      </c>
      <c r="G145" s="67" t="n">
        <v>11</v>
      </c>
      <c r="H145" s="65" t="n">
        <v>0.6470588235294118</v>
      </c>
      <c r="I145" s="69" t="n">
        <v>0.1208899470465088</v>
      </c>
      <c r="J145" s="70" t="inlineStr">
        <is>
          <t>样本不足</t>
        </is>
      </c>
    </row>
    <row r="146">
      <c r="A146" s="67" t="inlineStr">
        <is>
          <t>vein_warden</t>
        </is>
      </c>
      <c r="B146" s="68" t="inlineStr">
        <is>
          <t>流脉守望者</t>
        </is>
      </c>
      <c r="C146" s="67" t="inlineStr">
        <is>
          <t>中立</t>
        </is>
      </c>
      <c r="D146" s="67" t="inlineStr">
        <is>
          <t>随从</t>
        </is>
      </c>
      <c r="E146" s="67" t="n">
        <v>3</v>
      </c>
      <c r="F146" s="67" t="n">
        <v>17</v>
      </c>
      <c r="G146" s="67" t="n">
        <v>5</v>
      </c>
      <c r="H146" s="65" t="n">
        <v>0.2941176470588235</v>
      </c>
      <c r="I146" s="69" t="n">
        <v>-0.2320512294240795</v>
      </c>
      <c r="J146" s="70" t="inlineStr">
        <is>
          <t>样本不足</t>
        </is>
      </c>
    </row>
    <row r="147">
      <c r="A147" s="67" t="inlineStr">
        <is>
          <t>smoke_screen</t>
        </is>
      </c>
      <c r="B147" s="68" t="inlineStr">
        <is>
          <t>烟雾弹</t>
        </is>
      </c>
      <c r="C147" s="67" t="inlineStr">
        <is>
          <t>中立</t>
        </is>
      </c>
      <c r="D147" s="67" t="inlineStr">
        <is>
          <t>战术</t>
        </is>
      </c>
      <c r="E147" s="67" t="n">
        <v>3</v>
      </c>
      <c r="F147" s="67" t="n">
        <v>17</v>
      </c>
      <c r="G147" s="67" t="n">
        <v>7</v>
      </c>
      <c r="H147" s="65" t="n">
        <v>0.4117647058823529</v>
      </c>
      <c r="I147" s="69" t="n">
        <v>-0.1144041706005501</v>
      </c>
      <c r="J147" s="70" t="inlineStr">
        <is>
          <t>样本不足</t>
        </is>
      </c>
    </row>
    <row r="148">
      <c r="A148" s="67" t="inlineStr">
        <is>
          <t>reborn_sentry</t>
        </is>
      </c>
      <c r="B148" s="68" t="inlineStr">
        <is>
          <t>回潮哨卫</t>
        </is>
      </c>
      <c r="C148" s="67" t="inlineStr">
        <is>
          <t>共和国</t>
        </is>
      </c>
      <c r="D148" s="67" t="inlineStr">
        <is>
          <t>随从</t>
        </is>
      </c>
      <c r="E148" s="67" t="n">
        <v>3</v>
      </c>
      <c r="F148" s="67" t="n">
        <v>16</v>
      </c>
      <c r="G148" s="67" t="n">
        <v>9</v>
      </c>
      <c r="H148" s="65" t="n">
        <v>0.5625</v>
      </c>
      <c r="I148" s="69" t="n">
        <v>0.07291666666666669</v>
      </c>
      <c r="J148" s="70" t="inlineStr">
        <is>
          <t>样本不足</t>
        </is>
      </c>
    </row>
    <row r="149">
      <c r="A149" s="67" t="inlineStr">
        <is>
          <t>mercenary</t>
        </is>
      </c>
      <c r="B149" s="68" t="inlineStr">
        <is>
          <t>自由佣兵</t>
        </is>
      </c>
      <c r="C149" s="67" t="inlineStr">
        <is>
          <t>中立</t>
        </is>
      </c>
      <c r="D149" s="67" t="inlineStr">
        <is>
          <t>随从</t>
        </is>
      </c>
      <c r="E149" s="67" t="n">
        <v>3</v>
      </c>
      <c r="F149" s="67" t="n">
        <v>16</v>
      </c>
      <c r="G149" s="67" t="n">
        <v>11</v>
      </c>
      <c r="H149" s="65" t="n">
        <v>0.6875</v>
      </c>
      <c r="I149" s="69" t="n">
        <v>0.161331123517097</v>
      </c>
      <c r="J149" s="70" t="inlineStr">
        <is>
          <t>样本不足</t>
        </is>
      </c>
    </row>
    <row r="150">
      <c r="A150" s="67" t="inlineStr">
        <is>
          <t>old_compass</t>
        </is>
      </c>
      <c r="B150" s="68" t="inlineStr">
        <is>
          <t>旧罗盘</t>
        </is>
      </c>
      <c r="C150" s="67" t="inlineStr">
        <is>
          <t>中立</t>
        </is>
      </c>
      <c r="D150" s="67" t="inlineStr">
        <is>
          <t>战术</t>
        </is>
      </c>
      <c r="E150" s="67" t="n">
        <v>3</v>
      </c>
      <c r="F150" s="67" t="n">
        <v>15</v>
      </c>
      <c r="G150" s="67" t="n">
        <v>8</v>
      </c>
      <c r="H150" s="65" t="n">
        <v>0.5333333333333333</v>
      </c>
      <c r="I150" s="69" t="n">
        <v>0.007164456850430323</v>
      </c>
      <c r="J150" s="70" t="inlineStr">
        <is>
          <t>样本不足</t>
        </is>
      </c>
    </row>
    <row r="151">
      <c r="A151" s="67" t="inlineStr">
        <is>
          <t>vein_prism</t>
        </is>
      </c>
      <c r="B151" s="68" t="inlineStr">
        <is>
          <t>流脉棱镜</t>
        </is>
      </c>
      <c r="C151" s="67" t="inlineStr">
        <is>
          <t>中立</t>
        </is>
      </c>
      <c r="D151" s="67" t="inlineStr">
        <is>
          <t>战术</t>
        </is>
      </c>
      <c r="E151" s="67" t="n">
        <v>2</v>
      </c>
      <c r="F151" s="67" t="n">
        <v>15</v>
      </c>
      <c r="G151" s="67" t="n">
        <v>9</v>
      </c>
      <c r="H151" s="65" t="n">
        <v>0.6</v>
      </c>
      <c r="I151" s="69" t="n">
        <v>0.07383112351709697</v>
      </c>
      <c r="J151" s="70" t="inlineStr">
        <is>
          <t>样本不足</t>
        </is>
      </c>
    </row>
    <row r="152">
      <c r="A152" s="67" t="inlineStr">
        <is>
          <t>traveling_healer</t>
        </is>
      </c>
      <c r="B152" s="68" t="inlineStr">
        <is>
          <t>旅行医师</t>
        </is>
      </c>
      <c r="C152" s="67" t="inlineStr">
        <is>
          <t>中立</t>
        </is>
      </c>
      <c r="D152" s="67" t="inlineStr">
        <is>
          <t>随从</t>
        </is>
      </c>
      <c r="E152" s="67" t="n">
        <v>3</v>
      </c>
      <c r="F152" s="67" t="n">
        <v>13</v>
      </c>
      <c r="G152" s="67" t="n">
        <v>8</v>
      </c>
      <c r="H152" s="65" t="n">
        <v>0.6153846153846154</v>
      </c>
      <c r="I152" s="69" t="n">
        <v>0.08921573890171242</v>
      </c>
      <c r="J152" s="70" t="inlineStr">
        <is>
          <t>样本不足</t>
        </is>
      </c>
    </row>
    <row r="153">
      <c r="A153" s="67" t="inlineStr">
        <is>
          <t>wandering_guard</t>
        </is>
      </c>
      <c r="B153" s="68" t="inlineStr">
        <is>
          <t>荒野守卫</t>
        </is>
      </c>
      <c r="C153" s="67" t="inlineStr">
        <is>
          <t>中立</t>
        </is>
      </c>
      <c r="D153" s="67" t="inlineStr">
        <is>
          <t>随从</t>
        </is>
      </c>
      <c r="E153" s="67" t="n">
        <v>3</v>
      </c>
      <c r="F153" s="67" t="n">
        <v>13</v>
      </c>
      <c r="G153" s="67" t="n">
        <v>6</v>
      </c>
      <c r="H153" s="65" t="n">
        <v>0.4615384615384616</v>
      </c>
      <c r="I153" s="69" t="n">
        <v>-0.06463041494444144</v>
      </c>
      <c r="J153" s="70" t="inlineStr">
        <is>
          <t>样本不足</t>
        </is>
      </c>
    </row>
    <row r="154">
      <c r="A154" s="67" t="inlineStr">
        <is>
          <t>supply_cache</t>
        </is>
      </c>
      <c r="B154" s="68" t="inlineStr">
        <is>
          <t>补给箱</t>
        </is>
      </c>
      <c r="C154" s="67" t="inlineStr">
        <is>
          <t>中立</t>
        </is>
      </c>
      <c r="D154" s="67" t="inlineStr">
        <is>
          <t>战术</t>
        </is>
      </c>
      <c r="E154" s="67" t="n">
        <v>2</v>
      </c>
      <c r="F154" s="67" t="n">
        <v>13</v>
      </c>
      <c r="G154" s="67" t="n">
        <v>7</v>
      </c>
      <c r="H154" s="65" t="n">
        <v>0.5384615384615384</v>
      </c>
      <c r="I154" s="69" t="n">
        <v>0.01229266197863543</v>
      </c>
      <c r="J154" s="70" t="inlineStr">
        <is>
          <t>样本不足</t>
        </is>
      </c>
    </row>
    <row r="155">
      <c r="A155" s="67" t="inlineStr">
        <is>
          <t>field_engineer</t>
        </is>
      </c>
      <c r="B155" s="68" t="inlineStr">
        <is>
          <t>战地工程师</t>
        </is>
      </c>
      <c r="C155" s="67" t="inlineStr">
        <is>
          <t>中立</t>
        </is>
      </c>
      <c r="D155" s="67" t="inlineStr">
        <is>
          <t>随从</t>
        </is>
      </c>
      <c r="E155" s="67" t="n">
        <v>3</v>
      </c>
      <c r="F155" s="67" t="n">
        <v>12</v>
      </c>
      <c r="G155" s="67" t="n">
        <v>4</v>
      </c>
      <c r="H155" s="65" t="n">
        <v>0.3333333333333333</v>
      </c>
      <c r="I155" s="69" t="n">
        <v>-0.1928355431495697</v>
      </c>
      <c r="J155" s="70" t="inlineStr">
        <is>
          <t>样本不足</t>
        </is>
      </c>
    </row>
    <row r="156">
      <c r="A156" s="67" t="inlineStr">
        <is>
          <t>wayfarer_camp</t>
        </is>
      </c>
      <c r="B156" s="68" t="inlineStr">
        <is>
          <t>旅者营地</t>
        </is>
      </c>
      <c r="C156" s="67" t="inlineStr">
        <is>
          <t>中立</t>
        </is>
      </c>
      <c r="D156" s="67" t="inlineStr">
        <is>
          <t>阵型</t>
        </is>
      </c>
      <c r="E156" s="67" t="n">
        <v>3</v>
      </c>
      <c r="F156" s="67" t="n">
        <v>12</v>
      </c>
      <c r="G156" s="67" t="n">
        <v>7</v>
      </c>
      <c r="H156" s="65" t="n">
        <v>0.5833333333333334</v>
      </c>
      <c r="I156" s="69" t="n">
        <v>0.05716445685043037</v>
      </c>
      <c r="J156" s="70" t="inlineStr">
        <is>
          <t>样本不足</t>
        </is>
      </c>
    </row>
    <row r="157">
      <c r="A157" s="67" t="inlineStr">
        <is>
          <t>bulwark_sentry</t>
        </is>
      </c>
      <c r="B157" s="68" t="inlineStr">
        <is>
          <t>壁垒哨兵</t>
        </is>
      </c>
      <c r="C157" s="67" t="inlineStr">
        <is>
          <t>共和国</t>
        </is>
      </c>
      <c r="D157" s="67" t="inlineStr">
        <is>
          <t>随从</t>
        </is>
      </c>
      <c r="E157" s="67" t="n">
        <v>2</v>
      </c>
      <c r="F157" s="67" t="n">
        <v>11</v>
      </c>
      <c r="G157" s="67" t="n">
        <v>8</v>
      </c>
      <c r="H157" s="65" t="n">
        <v>0.7272727272727273</v>
      </c>
      <c r="I157" s="69" t="n">
        <v>0.237689393939394</v>
      </c>
      <c r="J157" s="70" t="inlineStr">
        <is>
          <t>样本不足</t>
        </is>
      </c>
    </row>
    <row r="158">
      <c r="A158" s="67" t="inlineStr">
        <is>
          <t>frost_leviathan</t>
        </is>
      </c>
      <c r="B158" s="68" t="inlineStr">
        <is>
          <t>霜潮利维坦</t>
        </is>
      </c>
      <c r="C158" s="67" t="inlineStr">
        <is>
          <t>中立</t>
        </is>
      </c>
      <c r="D158" s="67" t="inlineStr">
        <is>
          <t>随从</t>
        </is>
      </c>
      <c r="E158" s="67" t="n">
        <v>8</v>
      </c>
      <c r="F158" s="67" t="n">
        <v>11</v>
      </c>
      <c r="G158" s="67" t="n">
        <v>7</v>
      </c>
      <c r="H158" s="65" t="n">
        <v>0.6363636363636364</v>
      </c>
      <c r="I158" s="69" t="n">
        <v>0.1101947598807334</v>
      </c>
      <c r="J158" s="70" t="inlineStr">
        <is>
          <t>样本不足</t>
        </is>
      </c>
    </row>
    <row r="159">
      <c r="A159" s="67" t="inlineStr">
        <is>
          <t>world_serpent</t>
        </is>
      </c>
      <c r="B159" s="68" t="inlineStr">
        <is>
          <t>世界之蛇</t>
        </is>
      </c>
      <c r="C159" s="67" t="inlineStr">
        <is>
          <t>中立</t>
        </is>
      </c>
      <c r="D159" s="67" t="inlineStr">
        <is>
          <t>随从</t>
        </is>
      </c>
      <c r="E159" s="67" t="n">
        <v>10</v>
      </c>
      <c r="F159" s="67" t="n">
        <v>10</v>
      </c>
      <c r="G159" s="67" t="n">
        <v>8</v>
      </c>
      <c r="H159" s="65" t="n">
        <v>0.8</v>
      </c>
      <c r="I159" s="69" t="n">
        <v>0.273831123517097</v>
      </c>
      <c r="J159" s="70" t="inlineStr">
        <is>
          <t>样本不足</t>
        </is>
      </c>
    </row>
    <row r="160">
      <c r="A160" s="67" t="inlineStr">
        <is>
          <t>vein_behemoth</t>
        </is>
      </c>
      <c r="B160" s="68" t="inlineStr">
        <is>
          <t>流脉巨兽</t>
        </is>
      </c>
      <c r="C160" s="67" t="inlineStr">
        <is>
          <t>中立</t>
        </is>
      </c>
      <c r="D160" s="67" t="inlineStr">
        <is>
          <t>随从</t>
        </is>
      </c>
      <c r="E160" s="67" t="n">
        <v>8</v>
      </c>
      <c r="F160" s="67" t="n">
        <v>9</v>
      </c>
      <c r="G160" s="67" t="n">
        <v>4</v>
      </c>
      <c r="H160" s="65" t="n">
        <v>0.4444444444444444</v>
      </c>
      <c r="I160" s="69" t="n">
        <v>-0.08172443203845858</v>
      </c>
      <c r="J160" s="70" t="inlineStr">
        <is>
          <t>样本不足</t>
        </is>
      </c>
    </row>
    <row r="161">
      <c r="A161" s="67" t="inlineStr">
        <is>
          <t>bard</t>
        </is>
      </c>
      <c r="B161" s="68" t="inlineStr">
        <is>
          <t>吟游诗人</t>
        </is>
      </c>
      <c r="C161" s="67" t="inlineStr">
        <is>
          <t>中立</t>
        </is>
      </c>
      <c r="D161" s="67" t="inlineStr">
        <is>
          <t>随从</t>
        </is>
      </c>
      <c r="E161" s="67" t="n">
        <v>3</v>
      </c>
      <c r="F161" s="67" t="n">
        <v>8</v>
      </c>
      <c r="G161" s="67" t="n">
        <v>5</v>
      </c>
      <c r="H161" s="65" t="n">
        <v>0.625</v>
      </c>
      <c r="I161" s="69" t="n">
        <v>0.098831123517097</v>
      </c>
      <c r="J161" s="70" t="inlineStr">
        <is>
          <t>样本不足</t>
        </is>
      </c>
    </row>
    <row r="162">
      <c r="A162" s="67" t="inlineStr">
        <is>
          <t>losutai_matriarch</t>
        </is>
      </c>
      <c r="B162" s="68" t="inlineStr">
        <is>
          <t>洛斯汰母兽</t>
        </is>
      </c>
      <c r="C162" s="67" t="inlineStr">
        <is>
          <t>西昭</t>
        </is>
      </c>
      <c r="D162" s="67" t="inlineStr">
        <is>
          <t>随从</t>
        </is>
      </c>
      <c r="E162" s="67" t="n">
        <v>6</v>
      </c>
      <c r="F162" s="67" t="n">
        <v>8</v>
      </c>
      <c r="G162" s="67" t="n">
        <v>6</v>
      </c>
      <c r="H162" s="65" t="n">
        <v>0.75</v>
      </c>
      <c r="I162" s="69" t="n">
        <v>0.2854166666666667</v>
      </c>
      <c r="J162" s="70" t="inlineStr">
        <is>
          <t>样本不足</t>
        </is>
      </c>
    </row>
    <row r="163">
      <c r="A163" s="67" t="inlineStr">
        <is>
          <t>insight</t>
        </is>
      </c>
      <c r="B163" s="68" t="inlineStr">
        <is>
          <t>洞察</t>
        </is>
      </c>
      <c r="C163" s="67" t="inlineStr">
        <is>
          <t>学院</t>
        </is>
      </c>
      <c r="D163" s="67" t="inlineStr">
        <is>
          <t>战术</t>
        </is>
      </c>
      <c r="E163" s="67" t="n">
        <v>2</v>
      </c>
      <c r="F163" s="67" t="n">
        <v>8</v>
      </c>
      <c r="G163" s="67" t="n">
        <v>4</v>
      </c>
      <c r="H163" s="65" t="n">
        <v>0.5</v>
      </c>
      <c r="I163" s="69" t="n">
        <v>-0.03749999999999998</v>
      </c>
      <c r="J163" s="70" t="inlineStr">
        <is>
          <t>样本不足</t>
        </is>
      </c>
    </row>
    <row r="164">
      <c r="A164" s="67" t="inlineStr">
        <is>
          <t>armor_break</t>
        </is>
      </c>
      <c r="B164" s="68" t="inlineStr">
        <is>
          <t>破甲演算</t>
        </is>
      </c>
      <c r="C164" s="67" t="inlineStr">
        <is>
          <t>学院</t>
        </is>
      </c>
      <c r="D164" s="67" t="inlineStr">
        <is>
          <t>战术</t>
        </is>
      </c>
      <c r="E164" s="67" t="n">
        <v>2</v>
      </c>
      <c r="F164" s="67" t="n">
        <v>8</v>
      </c>
      <c r="G164" s="67" t="n">
        <v>5</v>
      </c>
      <c r="H164" s="65" t="n">
        <v>0.625</v>
      </c>
      <c r="I164" s="69" t="n">
        <v>0.08750000000000002</v>
      </c>
      <c r="J164" s="70" t="inlineStr">
        <is>
          <t>样本不足</t>
        </is>
      </c>
    </row>
    <row r="165">
      <c r="A165" s="67" t="inlineStr">
        <is>
          <t>iron_engineer</t>
        </is>
      </c>
      <c r="B165" s="68" t="inlineStr">
        <is>
          <t>铁流工兵</t>
        </is>
      </c>
      <c r="C165" s="67" t="inlineStr">
        <is>
          <t>中立</t>
        </is>
      </c>
      <c r="D165" s="67" t="inlineStr">
        <is>
          <t>随从</t>
        </is>
      </c>
      <c r="E165" s="67" t="n">
        <v>2</v>
      </c>
      <c r="F165" s="67" t="n">
        <v>8</v>
      </c>
      <c r="G165" s="67" t="n">
        <v>4</v>
      </c>
      <c r="H165" s="65" t="n">
        <v>0.5</v>
      </c>
      <c r="I165" s="69" t="n">
        <v>-0.026168876482903</v>
      </c>
      <c r="J165" s="70" t="inlineStr">
        <is>
          <t>样本不足</t>
        </is>
      </c>
    </row>
    <row r="166">
      <c r="A166" s="67" t="inlineStr">
        <is>
          <t>frost_scribe</t>
        </is>
      </c>
      <c r="B166" s="68" t="inlineStr">
        <is>
          <t>霜印书记</t>
        </is>
      </c>
      <c r="C166" s="67" t="inlineStr">
        <is>
          <t>学院</t>
        </is>
      </c>
      <c r="D166" s="67" t="inlineStr">
        <is>
          <t>战术</t>
        </is>
      </c>
      <c r="E166" s="67" t="n">
        <v>2</v>
      </c>
      <c r="F166" s="67" t="n">
        <v>8</v>
      </c>
      <c r="G166" s="67" t="n">
        <v>6</v>
      </c>
      <c r="H166" s="65" t="n">
        <v>0.75</v>
      </c>
      <c r="I166" s="69" t="n">
        <v>0.2125</v>
      </c>
      <c r="J166" s="70" t="inlineStr">
        <is>
          <t>样本不足</t>
        </is>
      </c>
    </row>
    <row r="167">
      <c r="A167" s="67" t="inlineStr">
        <is>
          <t>field_medic</t>
        </is>
      </c>
      <c r="B167" s="68" t="inlineStr">
        <is>
          <t>战地医者</t>
        </is>
      </c>
      <c r="C167" s="67" t="inlineStr">
        <is>
          <t>中立</t>
        </is>
      </c>
      <c r="D167" s="67" t="inlineStr">
        <is>
          <t>随从</t>
        </is>
      </c>
      <c r="E167" s="67" t="n">
        <v>2</v>
      </c>
      <c r="F167" s="67" t="n">
        <v>7</v>
      </c>
      <c r="G167" s="67" t="n">
        <v>5</v>
      </c>
      <c r="H167" s="65" t="n">
        <v>0.7142857142857143</v>
      </c>
      <c r="I167" s="69" t="n">
        <v>0.1881168378028113</v>
      </c>
      <c r="J167" s="70" t="inlineStr">
        <is>
          <t>样本不足</t>
        </is>
      </c>
    </row>
    <row r="168">
      <c r="A168" s="67" t="inlineStr">
        <is>
          <t>brood_matron</t>
        </is>
      </c>
      <c r="B168" s="68" t="inlineStr">
        <is>
          <t>育巢母兽</t>
        </is>
      </c>
      <c r="C168" s="67" t="inlineStr">
        <is>
          <t>西昭</t>
        </is>
      </c>
      <c r="D168" s="67" t="inlineStr">
        <is>
          <t>随从</t>
        </is>
      </c>
      <c r="E168" s="67" t="n">
        <v>4</v>
      </c>
      <c r="F168" s="67" t="n">
        <v>7</v>
      </c>
      <c r="G168" s="67" t="n">
        <v>6</v>
      </c>
      <c r="H168" s="65" t="n">
        <v>0.8571428571428571</v>
      </c>
      <c r="I168" s="69" t="n">
        <v>0.3925595238095237</v>
      </c>
      <c r="J168" s="70" t="inlineStr">
        <is>
          <t>样本不足</t>
        </is>
      </c>
    </row>
    <row r="169">
      <c r="A169" s="67" t="inlineStr">
        <is>
          <t>void_titan</t>
        </is>
      </c>
      <c r="B169" s="68" t="inlineStr">
        <is>
          <t>虚空泰坦</t>
        </is>
      </c>
      <c r="C169" s="67" t="inlineStr">
        <is>
          <t>中立</t>
        </is>
      </c>
      <c r="D169" s="67" t="inlineStr">
        <is>
          <t>随从</t>
        </is>
      </c>
      <c r="E169" s="67" t="n">
        <v>10</v>
      </c>
      <c r="F169" s="67" t="n">
        <v>7</v>
      </c>
      <c r="G169" s="67" t="n">
        <v>5</v>
      </c>
      <c r="H169" s="65" t="n">
        <v>0.7142857142857143</v>
      </c>
      <c r="I169" s="69" t="n">
        <v>0.1881168378028113</v>
      </c>
      <c r="J169" s="70" t="inlineStr">
        <is>
          <t>样本不足</t>
        </is>
      </c>
    </row>
    <row r="170">
      <c r="A170" s="67" t="inlineStr">
        <is>
          <t>blood_retainer</t>
        </is>
      </c>
      <c r="B170" s="68" t="inlineStr">
        <is>
          <t>血族侍从</t>
        </is>
      </c>
      <c r="C170" s="67" t="inlineStr">
        <is>
          <t>中立</t>
        </is>
      </c>
      <c r="D170" s="67" t="inlineStr">
        <is>
          <t>随从</t>
        </is>
      </c>
      <c r="E170" s="67" t="n">
        <v>2</v>
      </c>
      <c r="F170" s="67" t="n">
        <v>7</v>
      </c>
      <c r="G170" s="67" t="n">
        <v>2</v>
      </c>
      <c r="H170" s="65" t="n">
        <v>0.2857142857142857</v>
      </c>
      <c r="I170" s="69" t="n">
        <v>-0.2404545907686173</v>
      </c>
      <c r="J170" s="70" t="inlineStr">
        <is>
          <t>样本不足</t>
        </is>
      </c>
    </row>
    <row r="171">
      <c r="A171" s="67" t="inlineStr">
        <is>
          <t>republic_guard</t>
        </is>
      </c>
      <c r="B171" s="68" t="inlineStr">
        <is>
          <t>共和国卫兵</t>
        </is>
      </c>
      <c r="C171" s="67" t="inlineStr">
        <is>
          <t>共和国</t>
        </is>
      </c>
      <c r="D171" s="67" t="inlineStr">
        <is>
          <t>随从</t>
        </is>
      </c>
      <c r="E171" s="67" t="n">
        <v>2</v>
      </c>
      <c r="F171" s="67" t="n">
        <v>6</v>
      </c>
      <c r="G171" s="67" t="n">
        <v>3</v>
      </c>
      <c r="H171" s="65" t="n">
        <v>0.5</v>
      </c>
      <c r="I171" s="69" t="n">
        <v>0.01041666666666669</v>
      </c>
      <c r="J171" s="70" t="inlineStr">
        <is>
          <t>样本不足</t>
        </is>
      </c>
    </row>
    <row r="172">
      <c r="A172" s="67" t="inlineStr">
        <is>
          <t>anti_rush</t>
        </is>
      </c>
      <c r="B172" s="68" t="inlineStr">
        <is>
          <t>反炮击工事</t>
        </is>
      </c>
      <c r="C172" s="67" t="inlineStr">
        <is>
          <t>共和国</t>
        </is>
      </c>
      <c r="D172" s="67" t="inlineStr">
        <is>
          <t>战术</t>
        </is>
      </c>
      <c r="E172" s="67" t="n">
        <v>2</v>
      </c>
      <c r="F172" s="67" t="n">
        <v>6</v>
      </c>
      <c r="G172" s="67" t="n">
        <v>3</v>
      </c>
      <c r="H172" s="65" t="n">
        <v>0.5</v>
      </c>
      <c r="I172" s="69" t="n">
        <v>0.01041666666666669</v>
      </c>
      <c r="J172" s="70" t="inlineStr">
        <is>
          <t>样本不足</t>
        </is>
      </c>
    </row>
    <row r="173">
      <c r="A173" s="67" t="inlineStr">
        <is>
          <t>sim_assistant</t>
        </is>
      </c>
      <c r="B173" s="68" t="inlineStr">
        <is>
          <t>推演助手</t>
        </is>
      </c>
      <c r="C173" s="67" t="inlineStr">
        <is>
          <t>中立</t>
        </is>
      </c>
      <c r="D173" s="67" t="inlineStr">
        <is>
          <t>随从</t>
        </is>
      </c>
      <c r="E173" s="67" t="n">
        <v>3</v>
      </c>
      <c r="F173" s="67" t="n">
        <v>6</v>
      </c>
      <c r="G173" s="67" t="n">
        <v>2</v>
      </c>
      <c r="H173" s="65" t="n">
        <v>0.3333333333333333</v>
      </c>
      <c r="I173" s="69" t="n">
        <v>-0.1928355431495697</v>
      </c>
      <c r="J173" s="70" t="inlineStr">
        <is>
          <t>样本不足</t>
        </is>
      </c>
    </row>
    <row r="174">
      <c r="A174" s="67" t="inlineStr">
        <is>
          <t>archive_search</t>
        </is>
      </c>
      <c r="B174" s="68" t="inlineStr">
        <is>
          <t>档案检索</t>
        </is>
      </c>
      <c r="C174" s="67" t="inlineStr">
        <is>
          <t>学院</t>
        </is>
      </c>
      <c r="D174" s="67" t="inlineStr">
        <is>
          <t>战术</t>
        </is>
      </c>
      <c r="E174" s="67" t="n">
        <v>1</v>
      </c>
      <c r="F174" s="67" t="n">
        <v>6</v>
      </c>
      <c r="G174" s="67" t="n">
        <v>3</v>
      </c>
      <c r="H174" s="65" t="n">
        <v>0.5</v>
      </c>
      <c r="I174" s="69" t="n">
        <v>-0.03749999999999998</v>
      </c>
      <c r="J174" s="70" t="inlineStr">
        <is>
          <t>样本不足</t>
        </is>
      </c>
    </row>
    <row r="175">
      <c r="A175" s="67" t="inlineStr">
        <is>
          <t>vein_prospect</t>
        </is>
      </c>
      <c r="B175" s="68" t="inlineStr">
        <is>
          <t>流脉勘探</t>
        </is>
      </c>
      <c r="C175" s="67" t="inlineStr">
        <is>
          <t>中立</t>
        </is>
      </c>
      <c r="D175" s="67" t="inlineStr">
        <is>
          <t>战术</t>
        </is>
      </c>
      <c r="E175" s="67" t="n">
        <v>2</v>
      </c>
      <c r="F175" s="67" t="n">
        <v>6</v>
      </c>
      <c r="G175" s="67" t="n">
        <v>5</v>
      </c>
      <c r="H175" s="65" t="n">
        <v>0.8333333333333334</v>
      </c>
      <c r="I175" s="69" t="n">
        <v>0.3071644568504304</v>
      </c>
      <c r="J175" s="70" t="inlineStr">
        <is>
          <t>样本不足</t>
        </is>
      </c>
    </row>
    <row r="176">
      <c r="A176" s="67" t="inlineStr">
        <is>
          <t>mist_hound</t>
        </is>
      </c>
      <c r="B176" s="68" t="inlineStr">
        <is>
          <t>雾猎犬</t>
        </is>
      </c>
      <c r="C176" s="67" t="inlineStr">
        <is>
          <t>中立</t>
        </is>
      </c>
      <c r="D176" s="67" t="inlineStr">
        <is>
          <t>随从</t>
        </is>
      </c>
      <c r="E176" s="67" t="n">
        <v>2</v>
      </c>
      <c r="F176" s="67" t="n">
        <v>6</v>
      </c>
      <c r="G176" s="67" t="n">
        <v>3</v>
      </c>
      <c r="H176" s="65" t="n">
        <v>0.5</v>
      </c>
      <c r="I176" s="69" t="n">
        <v>-0.026168876482903</v>
      </c>
      <c r="J176" s="70" t="inlineStr">
        <is>
          <t>样本不足</t>
        </is>
      </c>
    </row>
    <row r="177">
      <c r="A177" s="67" t="inlineStr">
        <is>
          <t>drill_sergeant</t>
        </is>
      </c>
      <c r="B177" s="68" t="inlineStr">
        <is>
          <t>操练军士</t>
        </is>
      </c>
      <c r="C177" s="67" t="inlineStr">
        <is>
          <t>共和国</t>
        </is>
      </c>
      <c r="D177" s="67" t="inlineStr">
        <is>
          <t>随从</t>
        </is>
      </c>
      <c r="E177" s="67" t="n">
        <v>2</v>
      </c>
      <c r="F177" s="67" t="n">
        <v>5</v>
      </c>
      <c r="G177" s="67" t="n">
        <v>2</v>
      </c>
      <c r="H177" s="65" t="n">
        <v>0.4</v>
      </c>
      <c r="I177" s="69" t="n">
        <v>-0.08958333333333329</v>
      </c>
      <c r="J177" s="70" t="inlineStr">
        <is>
          <t>样本不足</t>
        </is>
      </c>
    </row>
    <row r="178">
      <c r="A178" s="67" t="inlineStr">
        <is>
          <t>archive_guard</t>
        </is>
      </c>
      <c r="B178" s="68" t="inlineStr">
        <is>
          <t>档案守卫</t>
        </is>
      </c>
      <c r="C178" s="67" t="inlineStr">
        <is>
          <t>中立</t>
        </is>
      </c>
      <c r="D178" s="67" t="inlineStr">
        <is>
          <t>随从</t>
        </is>
      </c>
      <c r="E178" s="67" t="n">
        <v>2</v>
      </c>
      <c r="F178" s="67" t="n">
        <v>5</v>
      </c>
      <c r="G178" s="67" t="n">
        <v>2</v>
      </c>
      <c r="H178" s="65" t="n">
        <v>0.4</v>
      </c>
      <c r="I178" s="69" t="n">
        <v>-0.126168876482903</v>
      </c>
      <c r="J178" s="70" t="inlineStr">
        <is>
          <t>样本不足</t>
        </is>
      </c>
    </row>
    <row r="179">
      <c r="A179" s="67" t="inlineStr">
        <is>
          <t>vein_leviathan</t>
        </is>
      </c>
      <c r="B179" s="68" t="inlineStr">
        <is>
          <t>流脉利维坦</t>
        </is>
      </c>
      <c r="C179" s="67" t="inlineStr">
        <is>
          <t>中立</t>
        </is>
      </c>
      <c r="D179" s="67" t="inlineStr">
        <is>
          <t>随从</t>
        </is>
      </c>
      <c r="E179" s="67" t="n">
        <v>9</v>
      </c>
      <c r="F179" s="67" t="n">
        <v>5</v>
      </c>
      <c r="G179" s="67" t="n">
        <v>0</v>
      </c>
      <c r="H179" s="65" t="n">
        <v>0</v>
      </c>
      <c r="I179" s="69" t="n">
        <v>-0.526168876482903</v>
      </c>
      <c r="J179" s="70" t="inlineStr">
        <is>
          <t>样本不足</t>
        </is>
      </c>
    </row>
    <row r="180">
      <c r="A180" s="67" t="inlineStr">
        <is>
          <t>blood_priestess</t>
        </is>
      </c>
      <c r="B180" s="68" t="inlineStr">
        <is>
          <t>血潮祭司</t>
        </is>
      </c>
      <c r="C180" s="67" t="inlineStr">
        <is>
          <t>西昭</t>
        </is>
      </c>
      <c r="D180" s="67" t="inlineStr">
        <is>
          <t>随从</t>
        </is>
      </c>
      <c r="E180" s="67" t="n">
        <v>5</v>
      </c>
      <c r="F180" s="67" t="n">
        <v>5</v>
      </c>
      <c r="G180" s="67" t="n">
        <v>1</v>
      </c>
      <c r="H180" s="65" t="n">
        <v>0.2</v>
      </c>
      <c r="I180" s="69" t="n">
        <v>-0.2645833333333333</v>
      </c>
      <c r="J180" s="70" t="inlineStr">
        <is>
          <t>样本不足</t>
        </is>
      </c>
    </row>
    <row r="181">
      <c r="A181" s="67" t="inlineStr">
        <is>
          <t>combo_shield</t>
        </is>
      </c>
      <c r="B181" s="68" t="inlineStr">
        <is>
          <t>顺势盾击</t>
        </is>
      </c>
      <c r="C181" s="67" t="inlineStr">
        <is>
          <t>共和国</t>
        </is>
      </c>
      <c r="D181" s="67" t="inlineStr">
        <is>
          <t>战术</t>
        </is>
      </c>
      <c r="E181" s="67" t="n">
        <v>2</v>
      </c>
      <c r="F181" s="67" t="n">
        <v>5</v>
      </c>
      <c r="G181" s="67" t="n">
        <v>2</v>
      </c>
      <c r="H181" s="65" t="n">
        <v>0.4</v>
      </c>
      <c r="I181" s="69" t="n">
        <v>-0.08958333333333329</v>
      </c>
      <c r="J181" s="70" t="inlineStr">
        <is>
          <t>样本不足</t>
        </is>
      </c>
    </row>
    <row r="182">
      <c r="A182" s="67" t="inlineStr">
        <is>
          <t>recon</t>
        </is>
      </c>
      <c r="B182" s="68" t="inlineStr">
        <is>
          <t>战前侦察</t>
        </is>
      </c>
      <c r="C182" s="67" t="inlineStr">
        <is>
          <t>中立</t>
        </is>
      </c>
      <c r="D182" s="67" t="inlineStr">
        <is>
          <t>战术</t>
        </is>
      </c>
      <c r="E182" s="67" t="n">
        <v>1</v>
      </c>
      <c r="F182" s="67" t="n">
        <v>4</v>
      </c>
      <c r="G182" s="67" t="n">
        <v>2</v>
      </c>
      <c r="H182" s="65" t="n">
        <v>0.5</v>
      </c>
      <c r="I182" s="69" t="n">
        <v>-0.026168876482903</v>
      </c>
      <c r="J182" s="70" t="inlineStr">
        <is>
          <t>样本不足</t>
        </is>
      </c>
    </row>
    <row r="183">
      <c r="A183" s="67" t="inlineStr">
        <is>
          <t>faceless_king</t>
        </is>
      </c>
      <c r="B183" s="68" t="inlineStr">
        <is>
          <t>无面君王</t>
        </is>
      </c>
      <c r="C183" s="67" t="inlineStr">
        <is>
          <t>中立</t>
        </is>
      </c>
      <c r="D183" s="67" t="inlineStr">
        <is>
          <t>随从</t>
        </is>
      </c>
      <c r="E183" s="67" t="n">
        <v>9</v>
      </c>
      <c r="F183" s="67" t="n">
        <v>4</v>
      </c>
      <c r="G183" s="67" t="n">
        <v>1</v>
      </c>
      <c r="H183" s="65" t="n">
        <v>0.25</v>
      </c>
      <c r="I183" s="69" t="n">
        <v>-0.276168876482903</v>
      </c>
      <c r="J183" s="70" t="inlineStr">
        <is>
          <t>样本不足</t>
        </is>
      </c>
    </row>
    <row r="184">
      <c r="A184" s="67" t="inlineStr">
        <is>
          <t>archive_scribe</t>
        </is>
      </c>
      <c r="B184" s="68" t="inlineStr">
        <is>
          <t>档案抄写员</t>
        </is>
      </c>
      <c r="C184" s="67" t="inlineStr">
        <is>
          <t>中立</t>
        </is>
      </c>
      <c r="D184" s="67" t="inlineStr">
        <is>
          <t>随从</t>
        </is>
      </c>
      <c r="E184" s="67" t="n">
        <v>2</v>
      </c>
      <c r="F184" s="67" t="n">
        <v>4</v>
      </c>
      <c r="G184" s="67" t="n">
        <v>0</v>
      </c>
      <c r="H184" s="65" t="n">
        <v>0</v>
      </c>
      <c r="I184" s="69" t="n">
        <v>-0.526168876482903</v>
      </c>
      <c r="J184" s="70" t="inlineStr">
        <is>
          <t>样本不足</t>
        </is>
      </c>
    </row>
    <row r="185">
      <c r="A185" s="67" t="inlineStr">
        <is>
          <t>vein_medic</t>
        </is>
      </c>
      <c r="B185" s="68" t="inlineStr">
        <is>
          <t>流脉医师</t>
        </is>
      </c>
      <c r="C185" s="67" t="inlineStr">
        <is>
          <t>中立</t>
        </is>
      </c>
      <c r="D185" s="67" t="inlineStr">
        <is>
          <t>随从</t>
        </is>
      </c>
      <c r="E185" s="67" t="n">
        <v>2</v>
      </c>
      <c r="F185" s="67" t="n">
        <v>4</v>
      </c>
      <c r="G185" s="67" t="n">
        <v>2</v>
      </c>
      <c r="H185" s="65" t="n">
        <v>0.5</v>
      </c>
      <c r="I185" s="69" t="n">
        <v>-0.026168876482903</v>
      </c>
      <c r="J185" s="70" t="inlineStr">
        <is>
          <t>样本不足</t>
        </is>
      </c>
    </row>
    <row r="186">
      <c r="A186" s="67" t="inlineStr">
        <is>
          <t>borrow_vein</t>
        </is>
      </c>
      <c r="B186" s="68" t="inlineStr">
        <is>
          <t>借脉</t>
        </is>
      </c>
      <c r="C186" s="67" t="inlineStr">
        <is>
          <t>学院</t>
        </is>
      </c>
      <c r="D186" s="67" t="inlineStr">
        <is>
          <t>战术</t>
        </is>
      </c>
      <c r="E186" s="67" t="n">
        <v>2</v>
      </c>
      <c r="F186" s="67" t="n">
        <v>3</v>
      </c>
      <c r="G186" s="67" t="n">
        <v>2</v>
      </c>
      <c r="H186" s="65" t="n">
        <v>0.6666666666666666</v>
      </c>
      <c r="I186" s="69" t="n">
        <v>0.1291666666666667</v>
      </c>
      <c r="J186" s="70" t="inlineStr">
        <is>
          <t>样本不足</t>
        </is>
      </c>
    </row>
    <row r="187">
      <c r="A187" s="67" t="inlineStr">
        <is>
          <t>line_spearman</t>
        </is>
      </c>
      <c r="B187" s="68" t="inlineStr">
        <is>
          <t>列阵枪兵</t>
        </is>
      </c>
      <c r="C187" s="67" t="inlineStr">
        <is>
          <t>共和国</t>
        </is>
      </c>
      <c r="D187" s="67" t="inlineStr">
        <is>
          <t>随从</t>
        </is>
      </c>
      <c r="E187" s="67" t="n">
        <v>2</v>
      </c>
      <c r="F187" s="67" t="n">
        <v>3</v>
      </c>
      <c r="G187" s="67" t="n">
        <v>2</v>
      </c>
      <c r="H187" s="65" t="n">
        <v>0.6666666666666666</v>
      </c>
      <c r="I187" s="69" t="n">
        <v>0.1770833333333333</v>
      </c>
      <c r="J187" s="70" t="inlineStr">
        <is>
          <t>样本不足</t>
        </is>
      </c>
    </row>
    <row r="188">
      <c r="A188" s="67" t="inlineStr">
        <is>
          <t>levy</t>
        </is>
      </c>
      <c r="B188" s="68" t="inlineStr">
        <is>
          <t>征募令</t>
        </is>
      </c>
      <c r="C188" s="67" t="inlineStr">
        <is>
          <t>共和国</t>
        </is>
      </c>
      <c r="D188" s="67" t="inlineStr">
        <is>
          <t>战术</t>
        </is>
      </c>
      <c r="E188" s="67" t="n">
        <v>2</v>
      </c>
      <c r="F188" s="67" t="n">
        <v>3</v>
      </c>
      <c r="G188" s="67" t="n">
        <v>1</v>
      </c>
      <c r="H188" s="65" t="n">
        <v>0.3333333333333333</v>
      </c>
      <c r="I188" s="69" t="n">
        <v>-0.15625</v>
      </c>
      <c r="J188" s="70" t="inlineStr">
        <is>
          <t>样本不足</t>
        </is>
      </c>
    </row>
    <row r="189">
      <c r="A189" s="67" t="inlineStr">
        <is>
          <t>wandering_merchant</t>
        </is>
      </c>
      <c r="B189" s="68" t="inlineStr">
        <is>
          <t>流浪商人</t>
        </is>
      </c>
      <c r="C189" s="67" t="inlineStr">
        <is>
          <t>中立</t>
        </is>
      </c>
      <c r="D189" s="67" t="inlineStr">
        <is>
          <t>随从</t>
        </is>
      </c>
      <c r="E189" s="67" t="n">
        <v>2</v>
      </c>
      <c r="F189" s="67" t="n">
        <v>3</v>
      </c>
      <c r="G189" s="67" t="n">
        <v>3</v>
      </c>
      <c r="H189" s="65" t="n">
        <v>1</v>
      </c>
      <c r="I189" s="69" t="n">
        <v>0.473831123517097</v>
      </c>
      <c r="J189" s="70" t="inlineStr">
        <is>
          <t>样本不足</t>
        </is>
      </c>
    </row>
    <row r="190">
      <c r="A190" s="67" t="inlineStr">
        <is>
          <t>formation_wall</t>
        </is>
      </c>
      <c r="B190" s="68" t="inlineStr">
        <is>
          <t>盾墙阵线</t>
        </is>
      </c>
      <c r="C190" s="67" t="inlineStr">
        <is>
          <t>共和国</t>
        </is>
      </c>
      <c r="D190" s="67" t="inlineStr">
        <is>
          <t>阵型</t>
        </is>
      </c>
      <c r="E190" s="67" t="n">
        <v>3</v>
      </c>
      <c r="F190" s="67" t="n">
        <v>3</v>
      </c>
      <c r="G190" s="67" t="n">
        <v>3</v>
      </c>
      <c r="H190" s="65" t="n">
        <v>1</v>
      </c>
      <c r="I190" s="69" t="n">
        <v>0.5104166666666667</v>
      </c>
      <c r="J190" s="70" t="inlineStr">
        <is>
          <t>样本不足</t>
        </is>
      </c>
    </row>
    <row r="191">
      <c r="A191" s="67" t="inlineStr">
        <is>
          <t>obsidian_colossus</t>
        </is>
      </c>
      <c r="B191" s="68" t="inlineStr">
        <is>
          <t>黑曜巨像</t>
        </is>
      </c>
      <c r="C191" s="67" t="inlineStr">
        <is>
          <t>中立</t>
        </is>
      </c>
      <c r="D191" s="67" t="inlineStr">
        <is>
          <t>随从</t>
        </is>
      </c>
      <c r="E191" s="67" t="n">
        <v>9</v>
      </c>
      <c r="F191" s="67" t="n">
        <v>3</v>
      </c>
      <c r="G191" s="67" t="n">
        <v>3</v>
      </c>
      <c r="H191" s="65" t="n">
        <v>1</v>
      </c>
      <c r="I191" s="69" t="n">
        <v>0.473831123517097</v>
      </c>
      <c r="J191" s="70" t="inlineStr">
        <is>
          <t>样本不足</t>
        </is>
      </c>
    </row>
    <row r="192">
      <c r="A192" s="67" t="inlineStr">
        <is>
          <t>grave_titan</t>
        </is>
      </c>
      <c r="B192" s="68" t="inlineStr">
        <is>
          <t>墓钟泰坦</t>
        </is>
      </c>
      <c r="C192" s="67" t="inlineStr">
        <is>
          <t>中立</t>
        </is>
      </c>
      <c r="D192" s="67" t="inlineStr">
        <is>
          <t>随从</t>
        </is>
      </c>
      <c r="E192" s="67" t="n">
        <v>9</v>
      </c>
      <c r="F192" s="67" t="n">
        <v>2</v>
      </c>
      <c r="G192" s="67" t="n">
        <v>1</v>
      </c>
      <c r="H192" s="65" t="n">
        <v>0.5</v>
      </c>
      <c r="I192" s="69" t="n">
        <v>-0.026168876482903</v>
      </c>
      <c r="J192" s="70" t="inlineStr">
        <is>
          <t>样本不足</t>
        </is>
      </c>
    </row>
    <row r="193">
      <c r="A193" s="67" t="inlineStr">
        <is>
          <t>blood_wraith</t>
        </is>
      </c>
      <c r="B193" s="68" t="inlineStr">
        <is>
          <t>噬血幽魂</t>
        </is>
      </c>
      <c r="C193" s="67" t="inlineStr">
        <is>
          <t>西昭</t>
        </is>
      </c>
      <c r="D193" s="67" t="inlineStr">
        <is>
          <t>随从</t>
        </is>
      </c>
      <c r="E193" s="67" t="n">
        <v>3</v>
      </c>
      <c r="F193" s="67" t="n">
        <v>1</v>
      </c>
      <c r="G193" s="67" t="n">
        <v>1</v>
      </c>
      <c r="H193" s="65" t="n">
        <v>1</v>
      </c>
      <c r="I193" s="69" t="n">
        <v>0.5354166666666667</v>
      </c>
      <c r="J193" s="70" t="inlineStr">
        <is>
          <t>样本不足</t>
        </is>
      </c>
    </row>
    <row r="194">
      <c r="A194" s="67" t="inlineStr">
        <is>
          <t>arcane_conduit</t>
        </is>
      </c>
      <c r="B194" s="68" t="inlineStr">
        <is>
          <t>奥术导管</t>
        </is>
      </c>
      <c r="C194" s="67" t="inlineStr">
        <is>
          <t>学院</t>
        </is>
      </c>
      <c r="D194" s="67" t="inlineStr">
        <is>
          <t>随从</t>
        </is>
      </c>
      <c r="E194" s="67" t="n">
        <v>4</v>
      </c>
      <c r="F194" s="67" t="n">
        <v>1</v>
      </c>
      <c r="G194" s="67" t="n">
        <v>0</v>
      </c>
      <c r="H194" s="65" t="n">
        <v>0</v>
      </c>
      <c r="I194" s="69" t="n">
        <v>-0.5375</v>
      </c>
      <c r="J194" s="70" t="inlineStr">
        <is>
          <t>样本不足</t>
        </is>
      </c>
    </row>
    <row r="195">
      <c r="A195" s="67" t="inlineStr">
        <is>
          <t>wandering_blade</t>
        </is>
      </c>
      <c r="B195" s="68" t="inlineStr">
        <is>
          <t>游荡剑客</t>
        </is>
      </c>
      <c r="C195" s="67" t="inlineStr">
        <is>
          <t>中立</t>
        </is>
      </c>
      <c r="D195" s="67" t="inlineStr">
        <is>
          <t>随从</t>
        </is>
      </c>
      <c r="E195" s="67" t="n">
        <v>2</v>
      </c>
      <c r="F195" s="67" t="n">
        <v>1</v>
      </c>
      <c r="G195" s="67" t="n">
        <v>1</v>
      </c>
      <c r="H195" s="65" t="n">
        <v>1</v>
      </c>
      <c r="I195" s="69" t="n">
        <v>0.473831123517097</v>
      </c>
      <c r="J195" s="70" t="inlineStr">
        <is>
          <t>样本不足</t>
        </is>
      </c>
    </row>
    <row r="196">
      <c r="A196" s="67" t="inlineStr">
        <is>
          <t>iron_wall</t>
        </is>
      </c>
      <c r="B196" s="68" t="inlineStr">
        <is>
          <t>铁壁令</t>
        </is>
      </c>
      <c r="C196" s="67" t="inlineStr">
        <is>
          <t>共和国</t>
        </is>
      </c>
      <c r="D196" s="67" t="inlineStr">
        <is>
          <t>战术</t>
        </is>
      </c>
      <c r="E196" s="67" t="n">
        <v>2</v>
      </c>
      <c r="F196" s="67" t="n">
        <v>1</v>
      </c>
      <c r="G196" s="67" t="n">
        <v>0</v>
      </c>
      <c r="H196" s="65" t="n">
        <v>0</v>
      </c>
      <c r="I196" s="69" t="n">
        <v>-0.4895833333333333</v>
      </c>
      <c r="J196" s="70" t="inlineStr">
        <is>
          <t>样本不足</t>
        </is>
      </c>
    </row>
    <row r="197">
      <c r="A197" s="67" t="inlineStr">
        <is>
          <t>zone_archivist</t>
        </is>
      </c>
      <c r="B197" s="68" t="inlineStr">
        <is>
          <t>三阵记录员</t>
        </is>
      </c>
      <c r="C197" s="67" t="inlineStr">
        <is>
          <t>学院</t>
        </is>
      </c>
      <c r="D197" s="67" t="inlineStr">
        <is>
          <t>随从</t>
        </is>
      </c>
      <c r="E197" s="67" t="n">
        <v>3</v>
      </c>
      <c r="F197" s="67" t="n">
        <v>0</v>
      </c>
      <c r="G197" s="67" t="n">
        <v>0</v>
      </c>
      <c r="H197" s="65" t="n"/>
      <c r="I197" s="69" t="n"/>
      <c r="J197" s="70" t="inlineStr">
        <is>
          <t>样本不足</t>
        </is>
      </c>
    </row>
    <row r="198">
      <c r="A198" s="67" t="inlineStr">
        <is>
          <t>guard</t>
        </is>
      </c>
      <c r="B198" s="68" t="inlineStr">
        <is>
          <t>保卫部步兵</t>
        </is>
      </c>
      <c r="C198" s="67" t="inlineStr">
        <is>
          <t>普卫岛</t>
        </is>
      </c>
      <c r="D198" s="67" t="inlineStr">
        <is>
          <t>随从</t>
        </is>
      </c>
      <c r="E198" s="67" t="n">
        <v>3</v>
      </c>
      <c r="F198" s="67" t="n">
        <v>0</v>
      </c>
      <c r="G198" s="67" t="n">
        <v>0</v>
      </c>
      <c r="H198" s="65" t="n"/>
      <c r="I198" s="69" t="n"/>
      <c r="J198" s="70" t="inlineStr">
        <is>
          <t>样本不足</t>
        </is>
      </c>
    </row>
    <row r="199">
      <c r="A199" s="67" t="inlineStr">
        <is>
          <t>courier</t>
        </is>
      </c>
      <c r="B199" s="68" t="inlineStr">
        <is>
          <t>协调部信使</t>
        </is>
      </c>
      <c r="C199" s="67" t="inlineStr">
        <is>
          <t>普卫岛</t>
        </is>
      </c>
      <c r="D199" s="67" t="inlineStr">
        <is>
          <t>随从</t>
        </is>
      </c>
      <c r="E199" s="67" t="n">
        <v>1</v>
      </c>
      <c r="F199" s="67" t="n">
        <v>0</v>
      </c>
      <c r="G199" s="67" t="n">
        <v>0</v>
      </c>
      <c r="H199" s="65" t="n"/>
      <c r="I199" s="69" t="n"/>
      <c r="J199" s="70" t="inlineStr">
        <is>
          <t>样本不足</t>
        </is>
      </c>
    </row>
    <row r="200">
      <c r="A200" s="67" t="inlineStr">
        <is>
          <t>overload_gunner</t>
        </is>
      </c>
      <c r="B200" s="68" t="inlineStr">
        <is>
          <t>反噬炮手</t>
        </is>
      </c>
      <c r="C200" s="67" t="inlineStr">
        <is>
          <t>帝国</t>
        </is>
      </c>
      <c r="D200" s="67" t="inlineStr">
        <is>
          <t>随从</t>
        </is>
      </c>
      <c r="E200" s="67" t="n">
        <v>3</v>
      </c>
      <c r="F200" s="67" t="n">
        <v>0</v>
      </c>
      <c r="G200" s="67" t="n">
        <v>0</v>
      </c>
      <c r="H200" s="65" t="n"/>
      <c r="I200" s="69" t="n"/>
      <c r="J200" s="70" t="inlineStr">
        <is>
          <t>样本不足</t>
        </is>
      </c>
    </row>
    <row r="201">
      <c r="A201" s="67" t="inlineStr">
        <is>
          <t>echo_adept</t>
        </is>
      </c>
      <c r="B201" s="68" t="inlineStr">
        <is>
          <t>回响学徒</t>
        </is>
      </c>
      <c r="C201" s="67" t="inlineStr">
        <is>
          <t>学院</t>
        </is>
      </c>
      <c r="D201" s="67" t="inlineStr">
        <is>
          <t>随从</t>
        </is>
      </c>
      <c r="E201" s="67" t="n">
        <v>4</v>
      </c>
      <c r="F201" s="67" t="n">
        <v>0</v>
      </c>
      <c r="G201" s="67" t="n">
        <v>0</v>
      </c>
      <c r="H201" s="65" t="n"/>
      <c r="I201" s="69" t="n"/>
      <c r="J201" s="70" t="inlineStr">
        <is>
          <t>样本不足</t>
        </is>
      </c>
    </row>
    <row r="202">
      <c r="A202" s="67" t="inlineStr">
        <is>
          <t>echo_observer</t>
        </is>
      </c>
      <c r="B202" s="68" t="inlineStr">
        <is>
          <t>回响观测者</t>
        </is>
      </c>
      <c r="C202" s="67" t="inlineStr">
        <is>
          <t>学院</t>
        </is>
      </c>
      <c r="D202" s="67" t="inlineStr">
        <is>
          <t>随从</t>
        </is>
      </c>
      <c r="E202" s="67" t="n">
        <v>4</v>
      </c>
      <c r="F202" s="67" t="n">
        <v>0</v>
      </c>
      <c r="G202" s="67" t="n">
        <v>0</v>
      </c>
      <c r="H202" s="65" t="n"/>
      <c r="I202" s="69" t="n"/>
      <c r="J202" s="70" t="inlineStr">
        <is>
          <t>样本不足</t>
        </is>
      </c>
    </row>
    <row r="203">
      <c r="A203" s="67" t="inlineStr">
        <is>
          <t>vein_echo</t>
        </is>
      </c>
      <c r="B203" s="68" t="inlineStr">
        <is>
          <t>地脉回响</t>
        </is>
      </c>
      <c r="C203" s="67" t="inlineStr">
        <is>
          <t>普卫岛</t>
        </is>
      </c>
      <c r="D203" s="67" t="inlineStr">
        <is>
          <t>战术</t>
        </is>
      </c>
      <c r="E203" s="67" t="n">
        <v>2</v>
      </c>
      <c r="F203" s="67" t="n">
        <v>0</v>
      </c>
      <c r="G203" s="67" t="n">
        <v>0</v>
      </c>
      <c r="H203" s="65" t="n"/>
      <c r="I203" s="69" t="n"/>
      <c r="J203" s="70" t="inlineStr">
        <is>
          <t>样本不足</t>
        </is>
      </c>
    </row>
    <row r="204">
      <c r="A204" s="67" t="inlineStr">
        <is>
          <t>lecturer</t>
        </is>
      </c>
      <c r="B204" s="68" t="inlineStr">
        <is>
          <t>学院讲师</t>
        </is>
      </c>
      <c r="C204" s="67" t="inlineStr">
        <is>
          <t>学院</t>
        </is>
      </c>
      <c r="D204" s="67" t="inlineStr">
        <is>
          <t>随从</t>
        </is>
      </c>
      <c r="E204" s="67" t="n">
        <v>3</v>
      </c>
      <c r="F204" s="67" t="n">
        <v>0</v>
      </c>
      <c r="G204" s="67" t="n">
        <v>0</v>
      </c>
      <c r="H204" s="65" t="n"/>
      <c r="I204" s="69" t="n"/>
      <c r="J204" s="70" t="inlineStr">
        <is>
          <t>样本不足</t>
        </is>
      </c>
    </row>
    <row r="205">
      <c r="A205" s="67" t="inlineStr">
        <is>
          <t>empire_guard</t>
        </is>
      </c>
      <c r="B205" s="68" t="inlineStr">
        <is>
          <t>帝国卫兵</t>
        </is>
      </c>
      <c r="C205" s="67" t="inlineStr">
        <is>
          <t>帝国</t>
        </is>
      </c>
      <c r="D205" s="67" t="inlineStr">
        <is>
          <t>随从</t>
        </is>
      </c>
      <c r="E205" s="67" t="n">
        <v>2</v>
      </c>
      <c r="F205" s="67" t="n">
        <v>0</v>
      </c>
      <c r="G205" s="67" t="n">
        <v>0</v>
      </c>
      <c r="H205" s="65" t="n"/>
      <c r="I205" s="69" t="n"/>
      <c r="J205" s="70" t="inlineStr">
        <is>
          <t>样本不足</t>
        </is>
      </c>
    </row>
    <row r="206">
      <c r="A206" s="67" t="inlineStr">
        <is>
          <t>armor_forge</t>
        </is>
      </c>
      <c r="B206" s="68" t="inlineStr">
        <is>
          <t>帝国锻炉</t>
        </is>
      </c>
      <c r="C206" s="67" t="inlineStr">
        <is>
          <t>帝国</t>
        </is>
      </c>
      <c r="D206" s="67" t="inlineStr">
        <is>
          <t>遗物</t>
        </is>
      </c>
      <c r="E206" s="67" t="n">
        <v>3</v>
      </c>
      <c r="F206" s="67" t="n">
        <v>0</v>
      </c>
      <c r="G206" s="67" t="n">
        <v>0</v>
      </c>
      <c r="H206" s="65" t="n"/>
      <c r="I206" s="69" t="n"/>
      <c r="J206" s="70" t="inlineStr">
        <is>
          <t>样本不足</t>
        </is>
      </c>
    </row>
    <row r="207">
      <c r="A207" s="67" t="inlineStr">
        <is>
          <t>vein_attendant</t>
        </is>
      </c>
      <c r="B207" s="68" t="inlineStr">
        <is>
          <t>引脉侍从</t>
        </is>
      </c>
      <c r="C207" s="67" t="inlineStr">
        <is>
          <t>普卫岛</t>
        </is>
      </c>
      <c r="D207" s="67" t="inlineStr">
        <is>
          <t>随从</t>
        </is>
      </c>
      <c r="E207" s="67" t="n">
        <v>2</v>
      </c>
      <c r="F207" s="67" t="n">
        <v>0</v>
      </c>
      <c r="G207" s="67" t="n">
        <v>0</v>
      </c>
      <c r="H207" s="65" t="n"/>
      <c r="I207" s="69" t="n"/>
      <c r="J207" s="70" t="inlineStr">
        <is>
          <t>样本不足</t>
        </is>
      </c>
    </row>
    <row r="208">
      <c r="A208" s="67" t="inlineStr">
        <is>
          <t>vein_oracle</t>
        </is>
      </c>
      <c r="B208" s="68" t="inlineStr">
        <is>
          <t>引脉先知</t>
        </is>
      </c>
      <c r="C208" s="67" t="inlineStr">
        <is>
          <t>普卫岛</t>
        </is>
      </c>
      <c r="D208" s="67" t="inlineStr">
        <is>
          <t>随从</t>
        </is>
      </c>
      <c r="E208" s="67" t="n">
        <v>5</v>
      </c>
      <c r="F208" s="67" t="n">
        <v>0</v>
      </c>
      <c r="G208" s="67" t="n">
        <v>0</v>
      </c>
      <c r="H208" s="65" t="n"/>
      <c r="I208" s="69" t="n"/>
      <c r="J208" s="70" t="inlineStr">
        <is>
          <t>样本不足</t>
        </is>
      </c>
    </row>
    <row r="209">
      <c r="A209" s="67" t="inlineStr">
        <is>
          <t>vein_engineer</t>
        </is>
      </c>
      <c r="B209" s="68" t="inlineStr">
        <is>
          <t>引脉工程师</t>
        </is>
      </c>
      <c r="C209" s="67" t="inlineStr">
        <is>
          <t>普卫岛</t>
        </is>
      </c>
      <c r="D209" s="67" t="inlineStr">
        <is>
          <t>随从</t>
        </is>
      </c>
      <c r="E209" s="67" t="n">
        <v>4</v>
      </c>
      <c r="F209" s="67" t="n">
        <v>0</v>
      </c>
      <c r="G209" s="67" t="n">
        <v>0</v>
      </c>
      <c r="H209" s="65" t="n"/>
      <c r="I209" s="69" t="n"/>
      <c r="J209" s="70" t="inlineStr">
        <is>
          <t>样本不足</t>
        </is>
      </c>
    </row>
    <row r="210">
      <c r="A210" s="67" t="inlineStr">
        <is>
          <t>war_tax</t>
        </is>
      </c>
      <c r="B210" s="68" t="inlineStr">
        <is>
          <t>战争税</t>
        </is>
      </c>
      <c r="C210" s="67" t="inlineStr">
        <is>
          <t>帝国</t>
        </is>
      </c>
      <c r="D210" s="67" t="inlineStr">
        <is>
          <t>战术</t>
        </is>
      </c>
      <c r="E210" s="67" t="n">
        <v>2</v>
      </c>
      <c r="F210" s="67" t="n">
        <v>0</v>
      </c>
      <c r="G210" s="67" t="n">
        <v>0</v>
      </c>
      <c r="H210" s="65" t="n"/>
      <c r="I210" s="69" t="n"/>
      <c r="J210" s="70" t="inlineStr">
        <is>
          <t>样本不足</t>
        </is>
      </c>
    </row>
    <row r="211">
      <c r="A211" s="67" t="inlineStr">
        <is>
          <t>quarantine</t>
        </is>
      </c>
      <c r="B211" s="68" t="inlineStr">
        <is>
          <t>战地检疫</t>
        </is>
      </c>
      <c r="C211" s="67" t="inlineStr">
        <is>
          <t>帝国</t>
        </is>
      </c>
      <c r="D211" s="67" t="inlineStr">
        <is>
          <t>战术</t>
        </is>
      </c>
      <c r="E211" s="67" t="n">
        <v>0</v>
      </c>
      <c r="F211" s="67" t="n">
        <v>0</v>
      </c>
      <c r="G211" s="67" t="n">
        <v>0</v>
      </c>
      <c r="H211" s="65" t="n"/>
      <c r="I211" s="69" t="n"/>
      <c r="J211" s="70" t="inlineStr">
        <is>
          <t>样本不足</t>
        </is>
      </c>
    </row>
    <row r="212">
      <c r="A212" s="67" t="inlineStr">
        <is>
          <t>vein_foreman</t>
        </is>
      </c>
      <c r="B212" s="68" t="inlineStr">
        <is>
          <t>掘脉工头</t>
        </is>
      </c>
      <c r="C212" s="67" t="inlineStr">
        <is>
          <t>普卫岛</t>
        </is>
      </c>
      <c r="D212" s="67" t="inlineStr">
        <is>
          <t>随从</t>
        </is>
      </c>
      <c r="E212" s="67" t="n">
        <v>2</v>
      </c>
      <c r="F212" s="67" t="n">
        <v>0</v>
      </c>
      <c r="G212" s="67" t="n">
        <v>0</v>
      </c>
      <c r="H212" s="65" t="n"/>
      <c r="I212" s="69" t="n"/>
      <c r="J212" s="70" t="inlineStr">
        <is>
          <t>样本不足</t>
        </is>
      </c>
    </row>
    <row r="213">
      <c r="A213" s="67" t="inlineStr">
        <is>
          <t>excavation_titan</t>
        </is>
      </c>
      <c r="B213" s="68" t="inlineStr">
        <is>
          <t>掘脉泰坦</t>
        </is>
      </c>
      <c r="C213" s="67" t="inlineStr">
        <is>
          <t>普卫岛</t>
        </is>
      </c>
      <c r="D213" s="67" t="inlineStr">
        <is>
          <t>随从</t>
        </is>
      </c>
      <c r="E213" s="67" t="n">
        <v>7</v>
      </c>
      <c r="F213" s="67" t="n">
        <v>0</v>
      </c>
      <c r="G213" s="67" t="n">
        <v>0</v>
      </c>
      <c r="H213" s="65" t="n"/>
      <c r="I213" s="69" t="n"/>
      <c r="J213" s="70" t="inlineStr">
        <is>
          <t>样本不足</t>
        </is>
      </c>
    </row>
    <row r="214">
      <c r="A214" s="67" t="inlineStr">
        <is>
          <t>siege_train</t>
        </is>
      </c>
      <c r="B214" s="68" t="inlineStr">
        <is>
          <t>攻城列车</t>
        </is>
      </c>
      <c r="C214" s="67" t="inlineStr">
        <is>
          <t>帝国</t>
        </is>
      </c>
      <c r="D214" s="67" t="inlineStr">
        <is>
          <t>随从</t>
        </is>
      </c>
      <c r="E214" s="67" t="n">
        <v>7</v>
      </c>
      <c r="F214" s="67" t="n">
        <v>0</v>
      </c>
      <c r="G214" s="67" t="n">
        <v>0</v>
      </c>
      <c r="H214" s="65" t="n"/>
      <c r="I214" s="69" t="n"/>
      <c r="J214" s="70" t="inlineStr">
        <is>
          <t>样本不足</t>
        </is>
      </c>
    </row>
    <row r="215">
      <c r="A215" s="67" t="inlineStr">
        <is>
          <t>siege_captain</t>
        </is>
      </c>
      <c r="B215" s="68" t="inlineStr">
        <is>
          <t>攻城队长</t>
        </is>
      </c>
      <c r="C215" s="67" t="inlineStr">
        <is>
          <t>帝国</t>
        </is>
      </c>
      <c r="D215" s="67" t="inlineStr">
        <is>
          <t>随从</t>
        </is>
      </c>
      <c r="E215" s="67" t="n">
        <v>4</v>
      </c>
      <c r="F215" s="67" t="n">
        <v>0</v>
      </c>
      <c r="G215" s="67" t="n">
        <v>0</v>
      </c>
      <c r="H215" s="65" t="n"/>
      <c r="I215" s="69" t="n"/>
      <c r="J215" s="70" t="inlineStr">
        <is>
          <t>样本不足</t>
        </is>
      </c>
    </row>
    <row r="216">
      <c r="A216" s="67" t="inlineStr">
        <is>
          <t>wanderer_charm</t>
        </is>
      </c>
      <c r="B216" s="68" t="inlineStr">
        <is>
          <t>旅者护符</t>
        </is>
      </c>
      <c r="C216" s="67" t="inlineStr">
        <is>
          <t>中立</t>
        </is>
      </c>
      <c r="D216" s="67" t="inlineStr">
        <is>
          <t>遗物</t>
        </is>
      </c>
      <c r="E216" s="67" t="n">
        <v>2</v>
      </c>
      <c r="F216" s="67" t="n">
        <v>0</v>
      </c>
      <c r="G216" s="67" t="n">
        <v>0</v>
      </c>
      <c r="H216" s="65" t="n"/>
      <c r="I216" s="69" t="n"/>
      <c r="J216" s="70" t="inlineStr">
        <is>
          <t>样本不足</t>
        </is>
      </c>
    </row>
    <row r="217">
      <c r="A217" s="67" t="inlineStr">
        <is>
          <t>spell_echo</t>
        </is>
      </c>
      <c r="B217" s="68" t="inlineStr">
        <is>
          <t>法术回响</t>
        </is>
      </c>
      <c r="C217" s="67" t="inlineStr">
        <is>
          <t>学院</t>
        </is>
      </c>
      <c r="D217" s="67" t="inlineStr">
        <is>
          <t>随从</t>
        </is>
      </c>
      <c r="E217" s="67" t="n">
        <v>3</v>
      </c>
      <c r="F217" s="67" t="n">
        <v>0</v>
      </c>
      <c r="G217" s="67" t="n">
        <v>0</v>
      </c>
      <c r="H217" s="65" t="n"/>
      <c r="I217" s="69" t="n"/>
      <c r="J217" s="70" t="inlineStr">
        <is>
          <t>样本不足</t>
        </is>
      </c>
    </row>
    <row r="218">
      <c r="A218" s="67" t="inlineStr">
        <is>
          <t>spell_novice</t>
        </is>
      </c>
      <c r="B218" s="68" t="inlineStr">
        <is>
          <t>法术学徒</t>
        </is>
      </c>
      <c r="C218" s="67" t="inlineStr">
        <is>
          <t>学院</t>
        </is>
      </c>
      <c r="D218" s="67" t="inlineStr">
        <is>
          <t>随从</t>
        </is>
      </c>
      <c r="E218" s="67" t="n">
        <v>1</v>
      </c>
      <c r="F218" s="67" t="n">
        <v>0</v>
      </c>
      <c r="G218" s="67" t="n">
        <v>0</v>
      </c>
      <c r="H218" s="65" t="n"/>
      <c r="I218" s="69" t="n"/>
      <c r="J218" s="70" t="inlineStr">
        <is>
          <t>样本不足</t>
        </is>
      </c>
    </row>
    <row r="219">
      <c r="A219" s="67" t="inlineStr">
        <is>
          <t>spell_conductor</t>
        </is>
      </c>
      <c r="B219" s="68" t="inlineStr">
        <is>
          <t>法术指挥</t>
        </is>
      </c>
      <c r="C219" s="67" t="inlineStr">
        <is>
          <t>学院</t>
        </is>
      </c>
      <c r="D219" s="67" t="inlineStr">
        <is>
          <t>随从</t>
        </is>
      </c>
      <c r="E219" s="67" t="n">
        <v>3</v>
      </c>
      <c r="F219" s="67" t="n">
        <v>0</v>
      </c>
      <c r="G219" s="67" t="n">
        <v>0</v>
      </c>
      <c r="H219" s="65" t="n"/>
      <c r="I219" s="69" t="n"/>
      <c r="J219" s="70" t="inlineStr">
        <is>
          <t>样本不足</t>
        </is>
      </c>
    </row>
    <row r="220">
      <c r="A220" s="67" t="inlineStr">
        <is>
          <t>spring_medic</t>
        </is>
      </c>
      <c r="B220" s="68" t="inlineStr">
        <is>
          <t>涌泉医师</t>
        </is>
      </c>
      <c r="C220" s="67" t="inlineStr">
        <is>
          <t>普卫岛</t>
        </is>
      </c>
      <c r="D220" s="67" t="inlineStr">
        <is>
          <t>随从</t>
        </is>
      </c>
      <c r="E220" s="67" t="n">
        <v>3</v>
      </c>
      <c r="F220" s="67" t="n">
        <v>0</v>
      </c>
      <c r="G220" s="67" t="n">
        <v>0</v>
      </c>
      <c r="H220" s="65" t="n"/>
      <c r="I220" s="69" t="n"/>
      <c r="J220" s="70" t="inlineStr">
        <is>
          <t>样本不足</t>
        </is>
      </c>
    </row>
    <row r="221">
      <c r="A221" s="67" t="inlineStr">
        <is>
          <t>gh_venom_vial</t>
        </is>
      </c>
      <c r="B221" s="68" t="inlineStr">
        <is>
          <t>淬毒瓶</t>
        </is>
      </c>
      <c r="C221" s="67" t="inlineStr">
        <is>
          <t>灰港同盟</t>
        </is>
      </c>
      <c r="D221" s="67" t="inlineStr">
        <is>
          <t>遗物</t>
        </is>
      </c>
      <c r="E221" s="67" t="n">
        <v>3</v>
      </c>
      <c r="F221" s="67" t="n">
        <v>0</v>
      </c>
      <c r="G221" s="67" t="n">
        <v>0</v>
      </c>
      <c r="H221" s="65" t="n"/>
      <c r="I221" s="69" t="n"/>
      <c r="J221" s="70" t="inlineStr">
        <is>
          <t>样本不足</t>
        </is>
      </c>
    </row>
    <row r="222">
      <c r="A222" s="67" t="inlineStr">
        <is>
          <t>powder_keg</t>
        </is>
      </c>
      <c r="B222" s="68" t="inlineStr">
        <is>
          <t>火药桶</t>
        </is>
      </c>
      <c r="C222" s="67" t="inlineStr">
        <is>
          <t>帝国</t>
        </is>
      </c>
      <c r="D222" s="67" t="inlineStr">
        <is>
          <t>战术</t>
        </is>
      </c>
      <c r="E222" s="67" t="n">
        <v>3</v>
      </c>
      <c r="F222" s="67" t="n">
        <v>0</v>
      </c>
      <c r="G222" s="67" t="n">
        <v>0</v>
      </c>
      <c r="H222" s="65" t="n"/>
      <c r="I222" s="69" t="n"/>
      <c r="J222" s="70" t="inlineStr">
        <is>
          <t>样本不足</t>
        </is>
      </c>
    </row>
    <row r="223">
      <c r="A223" s="67" t="inlineStr">
        <is>
          <t>hunt_ritual</t>
        </is>
      </c>
      <c r="B223" s="68" t="inlineStr">
        <is>
          <t>猎杀仪式</t>
        </is>
      </c>
      <c r="C223" s="67" t="inlineStr">
        <is>
          <t>西昭</t>
        </is>
      </c>
      <c r="D223" s="67" t="inlineStr">
        <is>
          <t>战术</t>
        </is>
      </c>
      <c r="E223" s="67" t="n">
        <v>3</v>
      </c>
      <c r="F223" s="67" t="n">
        <v>0</v>
      </c>
      <c r="G223" s="67" t="n">
        <v>0</v>
      </c>
      <c r="H223" s="65" t="n"/>
      <c r="I223" s="69" t="n"/>
      <c r="J223" s="70" t="inlineStr">
        <is>
          <t>样本不足</t>
        </is>
      </c>
    </row>
    <row r="224">
      <c r="A224" s="67" t="inlineStr">
        <is>
          <t>spell_codex</t>
        </is>
      </c>
      <c r="B224" s="68" t="inlineStr">
        <is>
          <t>留存法典</t>
        </is>
      </c>
      <c r="C224" s="67" t="inlineStr">
        <is>
          <t>学院</t>
        </is>
      </c>
      <c r="D224" s="67" t="inlineStr">
        <is>
          <t>遗物</t>
        </is>
      </c>
      <c r="E224" s="67" t="n">
        <v>3</v>
      </c>
      <c r="F224" s="67" t="n">
        <v>0</v>
      </c>
      <c r="G224" s="67" t="n">
        <v>0</v>
      </c>
      <c r="H224" s="65" t="n"/>
      <c r="I224" s="69" t="n"/>
      <c r="J224" s="70" t="inlineStr">
        <is>
          <t>样本不足</t>
        </is>
      </c>
    </row>
    <row r="225">
      <c r="A225" s="67" t="inlineStr">
        <is>
          <t>formation_bastion</t>
        </is>
      </c>
      <c r="B225" s="68" t="inlineStr">
        <is>
          <t>磐石阵线</t>
        </is>
      </c>
      <c r="C225" s="67" t="inlineStr">
        <is>
          <t>普卫岛</t>
        </is>
      </c>
      <c r="D225" s="67" t="inlineStr">
        <is>
          <t>阵型</t>
        </is>
      </c>
      <c r="E225" s="67" t="n">
        <v>4</v>
      </c>
      <c r="F225" s="67" t="n">
        <v>0</v>
      </c>
      <c r="G225" s="67" t="n">
        <v>0</v>
      </c>
      <c r="H225" s="65" t="n"/>
      <c r="I225" s="69" t="n"/>
      <c r="J225" s="70" t="inlineStr">
        <is>
          <t>样本不足</t>
        </is>
      </c>
    </row>
    <row r="226">
      <c r="A226" s="67" t="inlineStr">
        <is>
          <t>emergency_bill</t>
        </is>
      </c>
      <c r="B226" s="68" t="inlineStr">
        <is>
          <t>紧急法案</t>
        </is>
      </c>
      <c r="C226" s="67" t="inlineStr">
        <is>
          <t>共和国</t>
        </is>
      </c>
      <c r="D226" s="67" t="inlineStr">
        <is>
          <t>战术</t>
        </is>
      </c>
      <c r="E226" s="67" t="n">
        <v>2</v>
      </c>
      <c r="F226" s="67" t="n">
        <v>0</v>
      </c>
      <c r="G226" s="67" t="n">
        <v>0</v>
      </c>
      <c r="H226" s="65" t="n"/>
      <c r="I226" s="69" t="n"/>
      <c r="J226" s="70" t="inlineStr">
        <is>
          <t>样本不足</t>
        </is>
      </c>
    </row>
    <row r="227">
      <c r="A227" s="67" t="inlineStr">
        <is>
          <t>doorman</t>
        </is>
      </c>
      <c r="B227" s="68" t="inlineStr">
        <is>
          <t>老门房</t>
        </is>
      </c>
      <c r="C227" s="67" t="inlineStr">
        <is>
          <t>学院</t>
        </is>
      </c>
      <c r="D227" s="67" t="inlineStr">
        <is>
          <t>随从</t>
        </is>
      </c>
      <c r="E227" s="67" t="n">
        <v>1</v>
      </c>
      <c r="F227" s="67" t="n">
        <v>0</v>
      </c>
      <c r="G227" s="67" t="n">
        <v>0</v>
      </c>
      <c r="H227" s="65" t="n"/>
      <c r="I227" s="69" t="n"/>
      <c r="J227" s="70" t="inlineStr">
        <is>
          <t>样本不足</t>
        </is>
      </c>
    </row>
    <row r="228">
      <c r="A228" s="67" t="inlineStr">
        <is>
          <t>blood_contract</t>
        </is>
      </c>
      <c r="B228" s="68" t="inlineStr">
        <is>
          <t>血偿契约</t>
        </is>
      </c>
      <c r="C228" s="67" t="inlineStr">
        <is>
          <t>西昭</t>
        </is>
      </c>
      <c r="D228" s="67" t="inlineStr">
        <is>
          <t>战术</t>
        </is>
      </c>
      <c r="E228" s="67" t="n">
        <v>2</v>
      </c>
      <c r="F228" s="67" t="n">
        <v>0</v>
      </c>
      <c r="G228" s="67" t="n">
        <v>0</v>
      </c>
      <c r="H228" s="65" t="n"/>
      <c r="I228" s="69" t="n"/>
      <c r="J228" s="70" t="inlineStr">
        <is>
          <t>样本不足</t>
        </is>
      </c>
    </row>
    <row r="229">
      <c r="A229" s="67" t="inlineStr">
        <is>
          <t>blood_pact</t>
        </is>
      </c>
      <c r="B229" s="68" t="inlineStr">
        <is>
          <t>血契</t>
        </is>
      </c>
      <c r="C229" s="67" t="inlineStr">
        <is>
          <t>西昭</t>
        </is>
      </c>
      <c r="D229" s="67" t="inlineStr">
        <is>
          <t>战术</t>
        </is>
      </c>
      <c r="E229" s="67" t="n">
        <v>2</v>
      </c>
      <c r="F229" s="67" t="n">
        <v>0</v>
      </c>
      <c r="G229" s="67" t="n">
        <v>0</v>
      </c>
      <c r="H229" s="65" t="n"/>
      <c r="I229" s="69" t="n"/>
      <c r="J229" s="70" t="inlineStr">
        <is>
          <t>样本不足</t>
        </is>
      </c>
    </row>
    <row r="230">
      <c r="A230" s="67" t="inlineStr">
        <is>
          <t>blood_pool</t>
        </is>
      </c>
      <c r="B230" s="68" t="inlineStr">
        <is>
          <t>血池献祭</t>
        </is>
      </c>
      <c r="C230" s="67" t="inlineStr">
        <is>
          <t>西昭</t>
        </is>
      </c>
      <c r="D230" s="67" t="inlineStr">
        <is>
          <t>战术</t>
        </is>
      </c>
      <c r="E230" s="67" t="n">
        <v>3</v>
      </c>
      <c r="F230" s="67" t="n">
        <v>0</v>
      </c>
      <c r="G230" s="67" t="n">
        <v>0</v>
      </c>
      <c r="H230" s="65" t="n"/>
      <c r="I230" s="69" t="n"/>
      <c r="J230" s="70" t="inlineStr">
        <is>
          <t>样本不足</t>
        </is>
      </c>
    </row>
    <row r="231">
      <c r="A231" s="67" t="inlineStr">
        <is>
          <t>blood_ritual</t>
        </is>
      </c>
      <c r="B231" s="68" t="inlineStr">
        <is>
          <t>血祭仪式</t>
        </is>
      </c>
      <c r="C231" s="67" t="inlineStr">
        <is>
          <t>西昭</t>
        </is>
      </c>
      <c r="D231" s="67" t="inlineStr">
        <is>
          <t>战术</t>
        </is>
      </c>
      <c r="E231" s="67" t="n">
        <v>2</v>
      </c>
      <c r="F231" s="67" t="n">
        <v>0</v>
      </c>
      <c r="G231" s="67" t="n">
        <v>0</v>
      </c>
      <c r="H231" s="65" t="n"/>
      <c r="I231" s="69" t="n"/>
      <c r="J231" s="70" t="inlineStr">
        <is>
          <t>样本不足</t>
        </is>
      </c>
    </row>
    <row r="232">
      <c r="A232" s="67" t="inlineStr">
        <is>
          <t>blood_acolyte</t>
        </is>
      </c>
      <c r="B232" s="68" t="inlineStr">
        <is>
          <t>血祭侍从</t>
        </is>
      </c>
      <c r="C232" s="67" t="inlineStr">
        <is>
          <t>西昭</t>
        </is>
      </c>
      <c r="D232" s="67" t="inlineStr">
        <is>
          <t>随从</t>
        </is>
      </c>
      <c r="E232" s="67" t="n">
        <v>2</v>
      </c>
      <c r="F232" s="67" t="n">
        <v>0</v>
      </c>
      <c r="G232" s="67" t="n">
        <v>0</v>
      </c>
      <c r="H232" s="65" t="n"/>
      <c r="I232" s="69" t="n"/>
      <c r="J232" s="70" t="inlineStr">
        <is>
          <t>样本不足</t>
        </is>
      </c>
    </row>
    <row r="233">
      <c r="A233" s="67" t="inlineStr">
        <is>
          <t>blood_duelist</t>
        </is>
      </c>
      <c r="B233" s="68" t="inlineStr">
        <is>
          <t>血祭刀客</t>
        </is>
      </c>
      <c r="C233" s="67" t="inlineStr">
        <is>
          <t>西昭</t>
        </is>
      </c>
      <c r="D233" s="67" t="inlineStr">
        <is>
          <t>随从</t>
        </is>
      </c>
      <c r="E233" s="67" t="n">
        <v>2</v>
      </c>
      <c r="F233" s="67" t="n">
        <v>0</v>
      </c>
      <c r="G233" s="67" t="n">
        <v>0</v>
      </c>
      <c r="H233" s="65" t="n"/>
      <c r="I233" s="69" t="n"/>
      <c r="J233" s="70" t="inlineStr">
        <is>
          <t>样本不足</t>
        </is>
      </c>
    </row>
    <row r="234">
      <c r="A234" s="67" t="inlineStr">
        <is>
          <t>blood_altar</t>
        </is>
      </c>
      <c r="B234" s="68" t="inlineStr">
        <is>
          <t>血祭祭坛</t>
        </is>
      </c>
      <c r="C234" s="67" t="inlineStr">
        <is>
          <t>西昭</t>
        </is>
      </c>
      <c r="D234" s="67" t="inlineStr">
        <is>
          <t>战术</t>
        </is>
      </c>
      <c r="E234" s="67" t="n">
        <v>2</v>
      </c>
      <c r="F234" s="67" t="n">
        <v>0</v>
      </c>
      <c r="G234" s="67" t="n">
        <v>0</v>
      </c>
      <c r="H234" s="65" t="n"/>
      <c r="I234" s="69" t="n"/>
      <c r="J234" s="70" t="inlineStr">
        <is>
          <t>样本不足</t>
        </is>
      </c>
    </row>
    <row r="235">
      <c r="A235" s="67" t="inlineStr">
        <is>
          <t>blood_censer</t>
        </is>
      </c>
      <c r="B235" s="68" t="inlineStr">
        <is>
          <t>血香炉</t>
        </is>
      </c>
      <c r="C235" s="67" t="inlineStr">
        <is>
          <t>西昭</t>
        </is>
      </c>
      <c r="D235" s="67" t="inlineStr">
        <is>
          <t>遗物</t>
        </is>
      </c>
      <c r="E235" s="67" t="n">
        <v>3</v>
      </c>
      <c r="F235" s="67" t="n">
        <v>0</v>
      </c>
      <c r="G235" s="67" t="n">
        <v>0</v>
      </c>
      <c r="H235" s="65" t="n"/>
      <c r="I235" s="69" t="n"/>
      <c r="J235" s="70" t="inlineStr">
        <is>
          <t>样本不足</t>
        </is>
      </c>
    </row>
    <row r="236">
      <c r="A236" s="67" t="inlineStr">
        <is>
          <t>rush_lancer</t>
        </is>
      </c>
      <c r="B236" s="68" t="inlineStr">
        <is>
          <t>袭扰枪骑</t>
        </is>
      </c>
      <c r="C236" s="67" t="inlineStr">
        <is>
          <t>帝国</t>
        </is>
      </c>
      <c r="D236" s="67" t="inlineStr">
        <is>
          <t>随从</t>
        </is>
      </c>
      <c r="E236" s="67" t="n">
        <v>3</v>
      </c>
      <c r="F236" s="67" t="n">
        <v>0</v>
      </c>
      <c r="G236" s="67" t="n">
        <v>0</v>
      </c>
      <c r="H236" s="65" t="n"/>
      <c r="I236" s="69" t="n"/>
      <c r="J236" s="70" t="inlineStr">
        <is>
          <t>样本不足</t>
        </is>
      </c>
    </row>
    <row r="237">
      <c r="A237" s="67" t="inlineStr">
        <is>
          <t>armor_drive</t>
        </is>
      </c>
      <c r="B237" s="68" t="inlineStr">
        <is>
          <t>装甲动员</t>
        </is>
      </c>
      <c r="C237" s="67" t="inlineStr">
        <is>
          <t>帝国</t>
        </is>
      </c>
      <c r="D237" s="67" t="inlineStr">
        <is>
          <t>战术</t>
        </is>
      </c>
      <c r="E237" s="67" t="n">
        <v>2</v>
      </c>
      <c r="F237" s="67" t="n">
        <v>0</v>
      </c>
      <c r="G237" s="67" t="n">
        <v>0</v>
      </c>
      <c r="H237" s="65" t="n"/>
      <c r="I237" s="69" t="n"/>
      <c r="J237" s="70" t="inlineStr">
        <is>
          <t>样本不足</t>
        </is>
      </c>
    </row>
    <row r="238">
      <c r="A238" s="67" t="inlineStr">
        <is>
          <t>armor_recycle</t>
        </is>
      </c>
      <c r="B238" s="68" t="inlineStr">
        <is>
          <t>装甲回收</t>
        </is>
      </c>
      <c r="C238" s="67" t="inlineStr">
        <is>
          <t>帝国</t>
        </is>
      </c>
      <c r="D238" s="67" t="inlineStr">
        <is>
          <t>战术</t>
        </is>
      </c>
      <c r="E238" s="67" t="n">
        <v>3</v>
      </c>
      <c r="F238" s="67" t="n">
        <v>0</v>
      </c>
      <c r="G238" s="67" t="n">
        <v>0</v>
      </c>
      <c r="H238" s="65" t="n"/>
      <c r="I238" s="69" t="n"/>
      <c r="J238" s="70" t="inlineStr">
        <is>
          <t>样本不足</t>
        </is>
      </c>
    </row>
    <row r="239">
      <c r="A239" s="67" t="inlineStr">
        <is>
          <t>armor_mortar</t>
        </is>
      </c>
      <c r="B239" s="68" t="inlineStr">
        <is>
          <t>装甲炮击</t>
        </is>
      </c>
      <c r="C239" s="67" t="inlineStr">
        <is>
          <t>帝国</t>
        </is>
      </c>
      <c r="D239" s="67" t="inlineStr">
        <is>
          <t>战术</t>
        </is>
      </c>
      <c r="E239" s="67" t="n">
        <v>2</v>
      </c>
      <c r="F239" s="67" t="n">
        <v>0</v>
      </c>
      <c r="G239" s="67" t="n">
        <v>0</v>
      </c>
      <c r="H239" s="65" t="n"/>
      <c r="I239" s="69" t="n"/>
      <c r="J239" s="70" t="inlineStr">
        <is>
          <t>样本不足</t>
        </is>
      </c>
    </row>
    <row r="240">
      <c r="A240" s="67" t="inlineStr">
        <is>
          <t>armor_volley</t>
        </is>
      </c>
      <c r="B240" s="68" t="inlineStr">
        <is>
          <t>装甲齐射</t>
        </is>
      </c>
      <c r="C240" s="67" t="inlineStr">
        <is>
          <t>帝国</t>
        </is>
      </c>
      <c r="D240" s="67" t="inlineStr">
        <is>
          <t>战术</t>
        </is>
      </c>
      <c r="E240" s="67" t="n">
        <v>6</v>
      </c>
      <c r="F240" s="67" t="n">
        <v>0</v>
      </c>
      <c r="G240" s="67" t="n">
        <v>0</v>
      </c>
      <c r="H240" s="65" t="n"/>
      <c r="I240" s="69" t="n"/>
      <c r="J240" s="70" t="inlineStr">
        <is>
          <t>样本不足</t>
        </is>
      </c>
    </row>
    <row r="241">
      <c r="A241" s="67" t="inlineStr">
        <is>
          <t>republic_seal</t>
        </is>
      </c>
      <c r="B241" s="68" t="inlineStr">
        <is>
          <t>议席印玺</t>
        </is>
      </c>
      <c r="C241" s="67" t="inlineStr">
        <is>
          <t>共和国</t>
        </is>
      </c>
      <c r="D241" s="67" t="inlineStr">
        <is>
          <t>遗物</t>
        </is>
      </c>
      <c r="E241" s="67" t="n">
        <v>4</v>
      </c>
      <c r="F241" s="67" t="n">
        <v>0</v>
      </c>
      <c r="G241" s="67" t="n">
        <v>0</v>
      </c>
      <c r="H241" s="65" t="n"/>
      <c r="I241" s="69" t="n"/>
      <c r="J241" s="70" t="inlineStr">
        <is>
          <t>样本不足</t>
        </is>
      </c>
    </row>
    <row r="242">
      <c r="A242" s="67" t="inlineStr">
        <is>
          <t>reflux</t>
        </is>
      </c>
      <c r="B242" s="68" t="inlineStr">
        <is>
          <t>逆流</t>
        </is>
      </c>
      <c r="C242" s="67" t="inlineStr">
        <is>
          <t>西昭</t>
        </is>
      </c>
      <c r="D242" s="67" t="inlineStr">
        <is>
          <t>战术</t>
        </is>
      </c>
      <c r="E242" s="67" t="n">
        <v>2</v>
      </c>
      <c r="F242" s="67" t="n">
        <v>0</v>
      </c>
      <c r="G242" s="67" t="n">
        <v>0</v>
      </c>
      <c r="H242" s="65" t="n"/>
      <c r="I242" s="69" t="n"/>
      <c r="J242" s="70" t="inlineStr">
        <is>
          <t>样本不足</t>
        </is>
      </c>
    </row>
    <row r="243">
      <c r="A243" s="67" t="inlineStr">
        <is>
          <t>reflux_apprentice</t>
        </is>
      </c>
      <c r="B243" s="68" t="inlineStr">
        <is>
          <t>逆流学徒</t>
        </is>
      </c>
      <c r="C243" s="67" t="inlineStr">
        <is>
          <t>学院</t>
        </is>
      </c>
      <c r="D243" s="67" t="inlineStr">
        <is>
          <t>随从</t>
        </is>
      </c>
      <c r="E243" s="67" t="n">
        <v>2</v>
      </c>
      <c r="F243" s="67" t="n">
        <v>0</v>
      </c>
      <c r="G243" s="67" t="n">
        <v>0</v>
      </c>
      <c r="H243" s="65" t="n"/>
      <c r="I243" s="69" t="n"/>
      <c r="J243" s="70" t="inlineStr">
        <is>
          <t>样本不足</t>
        </is>
      </c>
    </row>
    <row r="244">
      <c r="A244" s="67" t="inlineStr">
        <is>
          <t>iron_mechanic</t>
        </is>
      </c>
      <c r="B244" s="68" t="inlineStr">
        <is>
          <t>铁流技工</t>
        </is>
      </c>
      <c r="C244" s="67" t="inlineStr">
        <is>
          <t>帝国</t>
        </is>
      </c>
      <c r="D244" s="67" t="inlineStr">
        <is>
          <t>随从</t>
        </is>
      </c>
      <c r="E244" s="67" t="n">
        <v>3</v>
      </c>
      <c r="F244" s="67" t="n">
        <v>0</v>
      </c>
      <c r="G244" s="67" t="n">
        <v>0</v>
      </c>
      <c r="H244" s="65" t="n"/>
      <c r="I244" s="69" t="n"/>
      <c r="J244" s="70" t="inlineStr">
        <is>
          <t>样本不足</t>
        </is>
      </c>
    </row>
    <row r="245">
      <c r="A245" s="67" t="inlineStr">
        <is>
          <t>zhenmai_artisan</t>
        </is>
      </c>
      <c r="B245" s="68" t="inlineStr">
        <is>
          <t>镇脉工匠</t>
        </is>
      </c>
      <c r="C245" s="67" t="inlineStr">
        <is>
          <t>帝国</t>
        </is>
      </c>
      <c r="D245" s="67" t="inlineStr">
        <is>
          <t>随从</t>
        </is>
      </c>
      <c r="E245" s="67" t="n">
        <v>2</v>
      </c>
      <c r="F245" s="67" t="n">
        <v>0</v>
      </c>
      <c r="G245" s="67" t="n">
        <v>0</v>
      </c>
      <c r="H245" s="65" t="n"/>
      <c r="I245" s="69" t="n"/>
      <c r="J245" s="70" t="inlineStr">
        <is>
          <t>样本不足</t>
        </is>
      </c>
    </row>
    <row r="246">
      <c r="A246" s="67" t="inlineStr">
        <is>
          <t>formation_standard</t>
        </is>
      </c>
      <c r="B246" s="68" t="inlineStr">
        <is>
          <t>阵线旗标</t>
        </is>
      </c>
      <c r="C246" s="67" t="inlineStr">
        <is>
          <t>普卫岛</t>
        </is>
      </c>
      <c r="D246" s="67" t="inlineStr">
        <is>
          <t>遗物</t>
        </is>
      </c>
      <c r="E246" s="67" t="n">
        <v>3</v>
      </c>
      <c r="F246" s="67" t="n">
        <v>0</v>
      </c>
      <c r="G246" s="67" t="n">
        <v>0</v>
      </c>
      <c r="H246" s="65" t="n"/>
      <c r="I246" s="69" t="n"/>
      <c r="J246" s="70" t="inlineStr">
        <is>
          <t>样本不足</t>
        </is>
      </c>
    </row>
    <row r="247">
      <c r="A247" s="67" t="inlineStr">
        <is>
          <t>formation_weaver</t>
        </is>
      </c>
      <c r="B247" s="68" t="inlineStr">
        <is>
          <t>阵线织者</t>
        </is>
      </c>
      <c r="C247" s="67" t="inlineStr">
        <is>
          <t>普卫岛</t>
        </is>
      </c>
      <c r="D247" s="67" t="inlineStr">
        <is>
          <t>随从</t>
        </is>
      </c>
      <c r="E247" s="67" t="n">
        <v>3</v>
      </c>
      <c r="F247" s="67" t="n">
        <v>0</v>
      </c>
      <c r="G247" s="67" t="n">
        <v>0</v>
      </c>
      <c r="H247" s="65" t="n"/>
      <c r="I247" s="69" t="n"/>
      <c r="J247" s="70" t="inlineStr">
        <is>
          <t>样本不足</t>
        </is>
      </c>
    </row>
    <row r="248">
      <c r="A248" s="67" t="inlineStr">
        <is>
          <t>line_rotation</t>
        </is>
      </c>
      <c r="B248" s="68" t="inlineStr">
        <is>
          <t>阵线轮换</t>
        </is>
      </c>
      <c r="C248" s="67" t="inlineStr">
        <is>
          <t>共和国</t>
        </is>
      </c>
      <c r="D248" s="67" t="inlineStr">
        <is>
          <t>战术</t>
        </is>
      </c>
      <c r="E248" s="67" t="n">
        <v>1</v>
      </c>
      <c r="F248" s="67" t="n">
        <v>0</v>
      </c>
      <c r="G248" s="67" t="n">
        <v>0</v>
      </c>
      <c r="H248" s="65" t="n"/>
      <c r="I248" s="69" t="n"/>
      <c r="J248" s="70" t="inlineStr">
        <is>
          <t>样本不足</t>
        </is>
      </c>
    </row>
  </sheetData>
  <autoFilter ref="A4:J248"/>
  <mergeCells count="2">
    <mergeCell ref="A1:J1"/>
    <mergeCell ref="A2:J2"/>
  </mergeCells>
  <conditionalFormatting sqref="H5:H248">
    <cfRule type="colorScale" priority="1">
      <colorScale>
        <cfvo type="num" val="0.35"/>
        <cfvo type="num" val="0.5"/>
        <cfvo type="num" val="0.65"/>
        <color rgb="00E58D86"/>
        <color rgb="00FFF2CC"/>
        <color rgb="0079D6C5"/>
      </colorScale>
    </cfRule>
  </conditionalFormatting>
  <conditionalFormatting sqref="I5:I248">
    <cfRule type="colorScale" priority="2">
      <colorScale>
        <cfvo type="num" val="-0.1"/>
        <cfvo type="num" val="0"/>
        <cfvo type="num" val="0.1"/>
        <color rgb="00E58D86"/>
        <color rgb="00FFF2CC"/>
        <color rgb="0079D6C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8" customWidth="1" min="4" max="4"/>
    <col width="8" customWidth="1" min="5" max="5"/>
    <col width="11" customWidth="1" min="6" max="6"/>
    <col width="15" customWidth="1" min="7" max="7"/>
    <col width="15" customWidth="1" min="8" max="8"/>
    <col width="10" customWidth="1" min="9" max="9"/>
  </cols>
  <sheetData>
    <row r="1" ht="26" customHeight="1">
      <c r="A1" s="42" t="inlineStr">
        <is>
          <t>阵营数值统计</t>
        </is>
      </c>
    </row>
    <row r="2" ht="20" customHeight="1">
      <c r="A2" s="43" t="inlineStr">
        <is>
          <t>统计表使用公式引用「卡牌数值」；改完 F/G/H 后，Excel 会自动重算。稳定版按当前数据统计；中立卡不计入六阵营明细。</t>
        </is>
      </c>
    </row>
    <row r="4" ht="30" customHeight="1">
      <c r="A4" s="4" t="inlineStr">
        <is>
          <t>阵营</t>
        </is>
      </c>
      <c r="B4" s="4" t="inlineStr">
        <is>
          <t>可组主卡</t>
        </is>
      </c>
      <c r="C4" s="4" t="inlineStr">
        <is>
          <t>可组遗物</t>
        </is>
      </c>
      <c r="D4" s="4" t="inlineStr">
        <is>
          <t>禁用</t>
        </is>
      </c>
      <c r="E4" s="4" t="inlineStr">
        <is>
          <t>实验</t>
        </is>
      </c>
      <c r="F4" s="4" t="inlineStr">
        <is>
          <t>平均费用</t>
        </is>
      </c>
      <c r="G4" s="4" t="inlineStr">
        <is>
          <t>平均攻击(随从)</t>
        </is>
      </c>
      <c r="H4" s="4" t="inlineStr">
        <is>
          <t>平均生命(随从)</t>
        </is>
      </c>
      <c r="I4" s="4" t="inlineStr">
        <is>
          <t>总条目</t>
        </is>
      </c>
    </row>
    <row r="5">
      <c r="A5" s="47" t="inlineStr">
        <is>
          <t>普卫岛</t>
        </is>
      </c>
      <c r="B5" s="48">
        <f>COUNTIFS('卡牌数值'!$C$6:$C$249,A5,'卡牌数值'!$Q$6:$Q$249,"可组",'卡牌数值'!$D$6:$D$249,"&lt;&gt;遗物")</f>
        <v/>
      </c>
      <c r="C5" s="48">
        <f>COUNTIFS('卡牌数值'!$C$6:$C$249,A5,'卡牌数值'!$Q$6:$Q$249,"遗物")</f>
        <v/>
      </c>
      <c r="D5" s="48">
        <f>COUNTIFS('卡牌数值'!$C$6:$C$249,A5,'卡牌数值'!$Q$6:$Q$249,"禁用")</f>
        <v/>
      </c>
      <c r="E5" s="48">
        <f>COUNTIFS('卡牌数值'!$C$6:$C$249,A5,'卡牌数值'!$Q$6:$Q$249,"实验")</f>
        <v/>
      </c>
      <c r="F5" s="49">
        <f>IFERROR(AVERAGEIFS('卡牌数值'!$F$6:$F$249,'卡牌数值'!$C$6:$C$249,A5,'卡牌数值'!$Q$6:$Q$249,"可组",'卡牌数值'!$D$6:$D$249,"&lt;&gt;遗物"),"")</f>
        <v/>
      </c>
      <c r="G5" s="49">
        <f>IFERROR(AVERAGEIFS('卡牌数值'!$G$6:$G$249,'卡牌数值'!$C$6:$C$249,A5,'卡牌数值'!$Q$6:$Q$249,"可组",'卡牌数值'!$D$6:$D$249,"随从"),"")</f>
        <v/>
      </c>
      <c r="H5" s="49">
        <f>IFERROR(AVERAGEIFS('卡牌数值'!$H$6:$H$249,'卡牌数值'!$C$6:$C$249,A5,'卡牌数值'!$Q$6:$Q$249,"可组",'卡牌数值'!$D$6:$D$249,"随从"),"")</f>
        <v/>
      </c>
      <c r="I5" s="48">
        <f>COUNTIF('卡牌数值'!$C$6:$C$249,A5)</f>
        <v/>
      </c>
    </row>
    <row r="6">
      <c r="A6" s="47" t="inlineStr">
        <is>
          <t>学院</t>
        </is>
      </c>
      <c r="B6" s="48">
        <f>COUNTIFS('卡牌数值'!$C$6:$C$249,A6,'卡牌数值'!$Q$6:$Q$249,"可组",'卡牌数值'!$D$6:$D$249,"&lt;&gt;遗物")</f>
        <v/>
      </c>
      <c r="C6" s="48">
        <f>COUNTIFS('卡牌数值'!$C$6:$C$249,A6,'卡牌数值'!$Q$6:$Q$249,"遗物")</f>
        <v/>
      </c>
      <c r="D6" s="48">
        <f>COUNTIFS('卡牌数值'!$C$6:$C$249,A6,'卡牌数值'!$Q$6:$Q$249,"禁用")</f>
        <v/>
      </c>
      <c r="E6" s="48">
        <f>COUNTIFS('卡牌数值'!$C$6:$C$249,A6,'卡牌数值'!$Q$6:$Q$249,"实验")</f>
        <v/>
      </c>
      <c r="F6" s="49">
        <f>IFERROR(AVERAGEIFS('卡牌数值'!$F$6:$F$249,'卡牌数值'!$C$6:$C$249,A6,'卡牌数值'!$Q$6:$Q$249,"可组",'卡牌数值'!$D$6:$D$249,"&lt;&gt;遗物"),"")</f>
        <v/>
      </c>
      <c r="G6" s="49">
        <f>IFERROR(AVERAGEIFS('卡牌数值'!$G$6:$G$249,'卡牌数值'!$C$6:$C$249,A6,'卡牌数值'!$Q$6:$Q$249,"可组",'卡牌数值'!$D$6:$D$249,"随从"),"")</f>
        <v/>
      </c>
      <c r="H6" s="49">
        <f>IFERROR(AVERAGEIFS('卡牌数值'!$H$6:$H$249,'卡牌数值'!$C$6:$C$249,A6,'卡牌数值'!$Q$6:$Q$249,"可组",'卡牌数值'!$D$6:$D$249,"随从"),"")</f>
        <v/>
      </c>
      <c r="I6" s="48">
        <f>COUNTIF('卡牌数值'!$C$6:$C$249,A6)</f>
        <v/>
      </c>
    </row>
    <row r="7">
      <c r="A7" s="47" t="inlineStr">
        <is>
          <t>西昭</t>
        </is>
      </c>
      <c r="B7" s="48">
        <f>COUNTIFS('卡牌数值'!$C$6:$C$249,A7,'卡牌数值'!$Q$6:$Q$249,"可组",'卡牌数值'!$D$6:$D$249,"&lt;&gt;遗物")</f>
        <v/>
      </c>
      <c r="C7" s="48">
        <f>COUNTIFS('卡牌数值'!$C$6:$C$249,A7,'卡牌数值'!$Q$6:$Q$249,"遗物")</f>
        <v/>
      </c>
      <c r="D7" s="48">
        <f>COUNTIFS('卡牌数值'!$C$6:$C$249,A7,'卡牌数值'!$Q$6:$Q$249,"禁用")</f>
        <v/>
      </c>
      <c r="E7" s="48">
        <f>COUNTIFS('卡牌数值'!$C$6:$C$249,A7,'卡牌数值'!$Q$6:$Q$249,"实验")</f>
        <v/>
      </c>
      <c r="F7" s="49">
        <f>IFERROR(AVERAGEIFS('卡牌数值'!$F$6:$F$249,'卡牌数值'!$C$6:$C$249,A7,'卡牌数值'!$Q$6:$Q$249,"可组",'卡牌数值'!$D$6:$D$249,"&lt;&gt;遗物"),"")</f>
        <v/>
      </c>
      <c r="G7" s="49">
        <f>IFERROR(AVERAGEIFS('卡牌数值'!$G$6:$G$249,'卡牌数值'!$C$6:$C$249,A7,'卡牌数值'!$Q$6:$Q$249,"可组",'卡牌数值'!$D$6:$D$249,"随从"),"")</f>
        <v/>
      </c>
      <c r="H7" s="49">
        <f>IFERROR(AVERAGEIFS('卡牌数值'!$H$6:$H$249,'卡牌数值'!$C$6:$C$249,A7,'卡牌数值'!$Q$6:$Q$249,"可组",'卡牌数值'!$D$6:$D$249,"随从"),"")</f>
        <v/>
      </c>
      <c r="I7" s="48">
        <f>COUNTIF('卡牌数值'!$C$6:$C$249,A7)</f>
        <v/>
      </c>
    </row>
    <row r="8">
      <c r="A8" s="47" t="inlineStr">
        <is>
          <t>共和国</t>
        </is>
      </c>
      <c r="B8" s="48">
        <f>COUNTIFS('卡牌数值'!$C$6:$C$249,A8,'卡牌数值'!$Q$6:$Q$249,"可组",'卡牌数值'!$D$6:$D$249,"&lt;&gt;遗物")</f>
        <v/>
      </c>
      <c r="C8" s="48">
        <f>COUNTIFS('卡牌数值'!$C$6:$C$249,A8,'卡牌数值'!$Q$6:$Q$249,"遗物")</f>
        <v/>
      </c>
      <c r="D8" s="48">
        <f>COUNTIFS('卡牌数值'!$C$6:$C$249,A8,'卡牌数值'!$Q$6:$Q$249,"禁用")</f>
        <v/>
      </c>
      <c r="E8" s="48">
        <f>COUNTIFS('卡牌数值'!$C$6:$C$249,A8,'卡牌数值'!$Q$6:$Q$249,"实验")</f>
        <v/>
      </c>
      <c r="F8" s="49">
        <f>IFERROR(AVERAGEIFS('卡牌数值'!$F$6:$F$249,'卡牌数值'!$C$6:$C$249,A8,'卡牌数值'!$Q$6:$Q$249,"可组",'卡牌数值'!$D$6:$D$249,"&lt;&gt;遗物"),"")</f>
        <v/>
      </c>
      <c r="G8" s="49">
        <f>IFERROR(AVERAGEIFS('卡牌数值'!$G$6:$G$249,'卡牌数值'!$C$6:$C$249,A8,'卡牌数值'!$Q$6:$Q$249,"可组",'卡牌数值'!$D$6:$D$249,"随从"),"")</f>
        <v/>
      </c>
      <c r="H8" s="49">
        <f>IFERROR(AVERAGEIFS('卡牌数值'!$H$6:$H$249,'卡牌数值'!$C$6:$C$249,A8,'卡牌数值'!$Q$6:$Q$249,"可组",'卡牌数值'!$D$6:$D$249,"随从"),"")</f>
        <v/>
      </c>
      <c r="I8" s="48">
        <f>COUNTIF('卡牌数值'!$C$6:$C$249,A8)</f>
        <v/>
      </c>
    </row>
    <row r="9">
      <c r="A9" s="47" t="inlineStr">
        <is>
          <t>帝国</t>
        </is>
      </c>
      <c r="B9" s="48">
        <f>COUNTIFS('卡牌数值'!$C$6:$C$249,A9,'卡牌数值'!$Q$6:$Q$249,"可组",'卡牌数值'!$D$6:$D$249,"&lt;&gt;遗物")</f>
        <v/>
      </c>
      <c r="C9" s="48">
        <f>COUNTIFS('卡牌数值'!$C$6:$C$249,A9,'卡牌数值'!$Q$6:$Q$249,"遗物")</f>
        <v/>
      </c>
      <c r="D9" s="48">
        <f>COUNTIFS('卡牌数值'!$C$6:$C$249,A9,'卡牌数值'!$Q$6:$Q$249,"禁用")</f>
        <v/>
      </c>
      <c r="E9" s="48">
        <f>COUNTIFS('卡牌数值'!$C$6:$C$249,A9,'卡牌数值'!$Q$6:$Q$249,"实验")</f>
        <v/>
      </c>
      <c r="F9" s="49">
        <f>IFERROR(AVERAGEIFS('卡牌数值'!$F$6:$F$249,'卡牌数值'!$C$6:$C$249,A9,'卡牌数值'!$Q$6:$Q$249,"可组",'卡牌数值'!$D$6:$D$249,"&lt;&gt;遗物"),"")</f>
        <v/>
      </c>
      <c r="G9" s="49">
        <f>IFERROR(AVERAGEIFS('卡牌数值'!$G$6:$G$249,'卡牌数值'!$C$6:$C$249,A9,'卡牌数值'!$Q$6:$Q$249,"可组",'卡牌数值'!$D$6:$D$249,"随从"),"")</f>
        <v/>
      </c>
      <c r="H9" s="49">
        <f>IFERROR(AVERAGEIFS('卡牌数值'!$H$6:$H$249,'卡牌数值'!$C$6:$C$249,A9,'卡牌数值'!$Q$6:$Q$249,"可组",'卡牌数值'!$D$6:$D$249,"随从"),"")</f>
        <v/>
      </c>
      <c r="I9" s="48">
        <f>COUNTIF('卡牌数值'!$C$6:$C$249,A9)</f>
        <v/>
      </c>
    </row>
    <row r="10">
      <c r="A10" s="47" t="inlineStr">
        <is>
          <t>灰港同盟</t>
        </is>
      </c>
      <c r="B10" s="48">
        <f>COUNTIFS('卡牌数值'!$C$6:$C$249,A10,'卡牌数值'!$Q$6:$Q$249,"可组",'卡牌数值'!$D$6:$D$249,"&lt;&gt;遗物")</f>
        <v/>
      </c>
      <c r="C10" s="48">
        <f>COUNTIFS('卡牌数值'!$C$6:$C$249,A10,'卡牌数值'!$Q$6:$Q$249,"遗物")</f>
        <v/>
      </c>
      <c r="D10" s="48">
        <f>COUNTIFS('卡牌数值'!$C$6:$C$249,A10,'卡牌数值'!$Q$6:$Q$249,"禁用")</f>
        <v/>
      </c>
      <c r="E10" s="48">
        <f>COUNTIFS('卡牌数值'!$C$6:$C$249,A10,'卡牌数值'!$Q$6:$Q$249,"实验")</f>
        <v/>
      </c>
      <c r="F10" s="49">
        <f>IFERROR(AVERAGEIFS('卡牌数值'!$F$6:$F$249,'卡牌数值'!$C$6:$C$249,A10,'卡牌数值'!$Q$6:$Q$249,"可组",'卡牌数值'!$D$6:$D$249,"&lt;&gt;遗物"),"")</f>
        <v/>
      </c>
      <c r="G10" s="49">
        <f>IFERROR(AVERAGEIFS('卡牌数值'!$G$6:$G$249,'卡牌数值'!$C$6:$C$249,A10,'卡牌数值'!$Q$6:$Q$249,"可组",'卡牌数值'!$D$6:$D$249,"随从"),"")</f>
        <v/>
      </c>
      <c r="H10" s="49">
        <f>IFERROR(AVERAGEIFS('卡牌数值'!$H$6:$H$249,'卡牌数值'!$C$6:$C$249,A10,'卡牌数值'!$Q$6:$Q$249,"可组",'卡牌数值'!$D$6:$D$249,"随从"),"")</f>
        <v/>
      </c>
      <c r="I10" s="48">
        <f>COUNTIF('卡牌数值'!$C$6:$C$249,A10)</f>
        <v/>
      </c>
    </row>
    <row r="11">
      <c r="A11" s="50" t="inlineStr">
        <is>
          <t>合计</t>
        </is>
      </c>
      <c r="B11" s="51">
        <f>SUM(B5:B10)</f>
        <v/>
      </c>
      <c r="C11" s="51">
        <f>SUM(C5:C10)</f>
        <v/>
      </c>
      <c r="D11" s="51">
        <f>SUM(D5:D10)</f>
        <v/>
      </c>
      <c r="E11" s="51">
        <f>SUM(E5:E10)</f>
        <v/>
      </c>
      <c r="F11" s="52">
        <f>IFERROR(AVERAGE(F5:F10),"")</f>
        <v/>
      </c>
      <c r="G11" s="52">
        <f>IFERROR(AVERAGE(G5:G10),"")</f>
        <v/>
      </c>
      <c r="H11" s="52">
        <f>IFERROR(AVERAGE(H5:H10),"")</f>
        <v/>
      </c>
      <c r="I11" s="51">
        <f>SUM(I5:I10)</f>
        <v/>
      </c>
    </row>
    <row r="13">
      <c r="A13" s="53" t="inlineStr">
        <is>
          <t>全局</t>
        </is>
      </c>
    </row>
    <row r="14">
      <c r="A14" s="54" t="inlineStr">
        <is>
          <t>可组主卡</t>
        </is>
      </c>
      <c r="B14" s="55">
        <f>COUNTIFS('卡牌数值'!$Q$6:$Q$249,"可组",'卡牌数值'!$D$6:$D$249,"&lt;&gt;遗物")</f>
        <v/>
      </c>
    </row>
    <row r="15">
      <c r="A15" s="54" t="inlineStr">
        <is>
          <t>可组遗物</t>
        </is>
      </c>
      <c r="B15" s="55">
        <f>COUNTIFS('卡牌数值'!$Q$6:$Q$249,"遗物")</f>
        <v/>
      </c>
    </row>
    <row r="16">
      <c r="A16" s="54" t="inlineStr">
        <is>
          <t>实验牌</t>
        </is>
      </c>
      <c r="B16" s="55">
        <f>COUNTIF('卡牌数值'!$Q$6:$Q$249,"实验")</f>
        <v/>
      </c>
    </row>
    <row r="17">
      <c r="A17" s="54" t="inlineStr">
        <is>
          <t>禁用牌</t>
        </is>
      </c>
      <c r="B17" s="55">
        <f>COUNTIF('卡牌数值'!$Q$6:$Q$249,"禁用")</f>
        <v/>
      </c>
    </row>
    <row r="18">
      <c r="A18" s="54" t="inlineStr">
        <is>
          <t>可收藏条目</t>
        </is>
      </c>
      <c r="B18" s="55">
        <f>COUNTA('卡牌数值'!$A$6:$A$249)</f>
        <v/>
      </c>
    </row>
    <row r="19">
      <c r="A19" s="54" t="inlineStr">
        <is>
          <t>衍生物</t>
        </is>
      </c>
      <c r="B19" s="55">
        <f>COUNTA(衍生物!$A$5:$A$12)</f>
        <v/>
      </c>
    </row>
    <row r="20">
      <c r="A20" s="54" t="inlineStr">
        <is>
          <t>总卡牌条目</t>
        </is>
      </c>
      <c r="B20" s="55">
        <f>B14+B15+B16+B17+B19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42" t="inlineStr">
        <is>
          <t>卡牌数值表 · 使用说明</t>
        </is>
      </c>
    </row>
    <row r="3" ht="34" customHeight="1">
      <c r="A3" s="56" t="inlineStr">
        <is>
          <t>版本</t>
        </is>
      </c>
      <c r="B3" s="57" t="inlineStr">
        <is>
          <t>稳定版构建 20261020e24.5；本表不包含抢先版数据。</t>
        </is>
      </c>
    </row>
    <row r="4" ht="34" customHeight="1">
      <c r="A4" s="56" t="inlineStr">
        <is>
          <t>编辑范围</t>
        </is>
      </c>
      <c r="B4" s="57" t="inlineStr">
        <is>
          <t>只改「卡牌数值」的 F 费用、G 攻击、H 生命三列（黄色）。M-O 是原始值，P 列自动显示「已改」。</t>
        </is>
      </c>
    </row>
    <row r="5" ht="34" customHeight="1">
      <c r="A5" s="56" t="inlineStr">
        <is>
          <t>空白值</t>
        </is>
      </c>
      <c r="B5" s="57" t="inlineStr">
        <is>
          <t>战术/遗物没有攻击或生命时保持空白；不要填 0，否则会被视为改动。</t>
        </is>
      </c>
    </row>
    <row r="6" ht="34" customHeight="1">
      <c r="A6" s="56" t="inlineStr">
        <is>
          <t>牌组上限</t>
        </is>
      </c>
      <c r="B6" s="57" t="inlineStr">
        <is>
          <t>按稀有度/类型自动记录：遗物 1、传说 1、阵型 2、其他 2。</t>
        </is>
      </c>
    </row>
    <row r="7" ht="34" customHeight="1">
      <c r="A7" s="56" t="inlineStr">
        <is>
          <t>状态</t>
        </is>
      </c>
      <c r="B7" s="57" t="inlineStr">
        <is>
          <t>可组 = 正常组卡池；遗物 = 可组遗物。稳定版没有实验或禁用条目。</t>
        </is>
      </c>
    </row>
    <row r="8" ht="34" customHeight="1">
      <c r="A8" s="56" t="inlineStr">
        <is>
          <t>正常卡池</t>
        </is>
      </c>
      <c r="B8" s="57" t="inlineStr">
        <is>
          <t>稳定版共 244 个可收藏条目；各阵营数量见「阵营统计」。</t>
        </is>
      </c>
    </row>
    <row r="9" ht="34" customHeight="1">
      <c r="A9" s="56" t="inlineStr">
        <is>
          <t>实验牌</t>
        </is>
      </c>
      <c r="B9" s="57" t="inlineStr">
        <is>
          <t>稳定版不含实验牌；抢先版实验内容不会进入本表。</t>
        </is>
      </c>
    </row>
    <row r="10" ht="34" customHeight="1">
      <c r="A10" s="56" t="inlineStr">
        <is>
          <t>改动后</t>
        </is>
      </c>
      <c r="B10" s="57" t="inlineStr">
        <is>
          <t>在 Excel 里调整只影响这份表，不会自动写回游戏；把改动同步到稳定版 data.js 后重新测试、打包。</t>
        </is>
      </c>
    </row>
    <row r="11" ht="34" customHeight="1">
      <c r="A11" s="56" t="inlineStr">
        <is>
          <t>统计</t>
        </is>
      </c>
      <c r="B11" s="57" t="inlineStr">
        <is>
          <t>「阵营统计」和「稀有度」使用公式；Excel 打开或修改后会自动重算。</t>
        </is>
      </c>
    </row>
    <row r="12" ht="34" customHeight="1">
      <c r="A12" s="56" t="inlineStr">
        <is>
          <t>提示</t>
        </is>
      </c>
      <c r="B12" s="57" t="inlineStr">
        <is>
          <t>先筛选「状态」=可组，再按阵营/费用调整，避免改错遗物。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 ht="26" customHeight="1">
      <c r="A1" s="42" t="inlineStr">
        <is>
          <t>稀有度分布</t>
        </is>
      </c>
    </row>
    <row r="2">
      <c r="A2" t="inlineStr">
        <is>
          <t>统计表使用公式引用「卡牌数值」；修改后自动重算。</t>
        </is>
      </c>
    </row>
    <row r="3">
      <c r="A3" s="44" t="inlineStr">
        <is>
          <t>稀有度</t>
        </is>
      </c>
      <c r="B3" s="44" t="inlineStr">
        <is>
          <t>可收藏数量</t>
        </is>
      </c>
      <c r="C3" s="44" t="inlineStr">
        <is>
          <t>平均费用</t>
        </is>
      </c>
      <c r="D3" s="44" t="inlineStr">
        <is>
          <t>可组主卡数</t>
        </is>
      </c>
    </row>
    <row r="4">
      <c r="A4" s="58" t="inlineStr">
        <is>
          <t>普通</t>
        </is>
      </c>
      <c r="B4" s="58">
        <f>COUNTIF('卡牌数值'!$E$6:$E$249,A4)</f>
        <v/>
      </c>
      <c r="C4" s="59">
        <f>IFERROR(AVERAGEIFS('卡牌数值'!$F$6:$F$249,'卡牌数值'!$E$6:$E$249,A4),"")</f>
        <v/>
      </c>
      <c r="D4" s="58">
        <f>COUNTIFS('卡牌数值'!$E$6:$E$249,A4,'卡牌数值'!$Q$6:$Q$249,"可组")</f>
        <v/>
      </c>
    </row>
    <row r="5">
      <c r="A5" s="58" t="inlineStr">
        <is>
          <t>稀有</t>
        </is>
      </c>
      <c r="B5" s="58">
        <f>COUNTIF('卡牌数值'!$E$6:$E$249,A5)</f>
        <v/>
      </c>
      <c r="C5" s="59">
        <f>IFERROR(AVERAGEIFS('卡牌数值'!$F$6:$F$249,'卡牌数值'!$E$6:$E$249,A5),"")</f>
        <v/>
      </c>
      <c r="D5" s="58">
        <f>COUNTIFS('卡牌数值'!$E$6:$E$249,A5,'卡牌数值'!$Q$6:$Q$249,"可组")</f>
        <v/>
      </c>
    </row>
    <row r="6">
      <c r="A6" s="58" t="inlineStr">
        <is>
          <t>史诗</t>
        </is>
      </c>
      <c r="B6" s="58">
        <f>COUNTIF('卡牌数值'!$E$6:$E$249,A6)</f>
        <v/>
      </c>
      <c r="C6" s="59">
        <f>IFERROR(AVERAGEIFS('卡牌数值'!$F$6:$F$249,'卡牌数值'!$E$6:$E$249,A6),"")</f>
        <v/>
      </c>
      <c r="D6" s="58">
        <f>COUNTIFS('卡牌数值'!$E$6:$E$249,A6,'卡牌数值'!$Q$6:$Q$249,"可组")</f>
        <v/>
      </c>
    </row>
    <row r="7">
      <c r="A7" s="58" t="inlineStr">
        <is>
          <t>传说</t>
        </is>
      </c>
      <c r="B7" s="58">
        <f>COUNTIF('卡牌数值'!$E$6:$E$249,A7)</f>
        <v/>
      </c>
      <c r="C7" s="59">
        <f>IFERROR(AVERAGEIFS('卡牌数值'!$F$6:$F$249,'卡牌数值'!$E$6:$E$249,A7),"")</f>
        <v/>
      </c>
      <c r="D7" s="58">
        <f>COUNTIFS('卡牌数值'!$E$6:$E$249,A7,'卡牌数值'!$Q$6:$Q$249,"可组")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DeepSeek Harness</dc:creator>
  <dc:title xmlns:dc="http://purl.org/dc/elements/1.1/">戈克世界：流脉牌局 · 稳定版卡牌数值调整表</dc:title>
  <dc:description xmlns:dc="http://purl.org/dc/elements/1.1/">可编辑费用/攻击/生命，含原始值对照、改动标记和阵营统计</dc:description>
  <dc:subject xmlns:dc="http://purl.org/dc/elements/1.1/">抢先版 e26 卡牌数值</dc:subject>
  <dcterms:created xmlns:dcterms="http://purl.org/dc/terms/" xmlns:xsi="http://www.w3.org/2001/XMLSchema-instance" xsi:type="dcterms:W3CDTF">2026-10-20T11:24:12Z</dcterms:created>
  <dcterms:modified xmlns:dcterms="http://purl.org/dc/terms/" xmlns:xsi="http://www.w3.org/2001/XMLSchema-instance" xsi:type="dcterms:W3CDTF">2026-10-22T11:53:54Z</dcterms:modified>
</cp:coreProperties>
</file>